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_comp" sheetId="1" r:id="rId4"/>
    <sheet state="visible" name="Balance" sheetId="2" r:id="rId5"/>
    <sheet state="visible" name="expenditure" sheetId="3" r:id="rId6"/>
    <sheet state="visible" name="May25" sheetId="4" r:id="rId7"/>
    <sheet state="visible" name="June25" sheetId="5" r:id="rId8"/>
    <sheet state="visible" name="July25" sheetId="6" r:id="rId9"/>
    <sheet state="visible" name="Aug25" sheetId="7" r:id="rId10"/>
    <sheet state="visible" name="Sept25" sheetId="8" r:id="rId11"/>
    <sheet state="visible" name="Oct25" sheetId="9" r:id="rId12"/>
    <sheet state="visible" name="Dec25" sheetId="10" r:id="rId13"/>
    <sheet state="visible" name="Jan26" sheetId="11" r:id="rId14"/>
    <sheet state="visible" name="Feb26" sheetId="12" r:id="rId15"/>
    <sheet state="visible" name="April 26" sheetId="13" r:id="rId16"/>
  </sheets>
  <definedNames>
    <definedName hidden="1" localSheetId="3" name="_xlnm._FilterDatabase">'May25'!$A$2:$D$39</definedName>
    <definedName hidden="1" localSheetId="5" name="_xlnm._FilterDatabase">July25!$A$1:$G$35</definedName>
    <definedName hidden="1" localSheetId="6" name="_xlnm._FilterDatabase">'Aug25'!$A$1:$G$30</definedName>
    <definedName hidden="1" localSheetId="7" name="_xlnm._FilterDatabase">Sept25!$A$1:$G$30</definedName>
    <definedName hidden="1" localSheetId="8" name="_xlnm._FilterDatabase">'Oct25'!$A$1:$G$30</definedName>
    <definedName hidden="1" localSheetId="9" name="_xlnm._FilterDatabase">'Dec25'!$A$1:$G$30</definedName>
    <definedName hidden="1" localSheetId="10" name="_xlnm._FilterDatabase">'Jan26'!$A$1:$G$30</definedName>
    <definedName hidden="1" localSheetId="11" name="_xlnm._FilterDatabase">'Feb26'!$A$1:$G$30</definedName>
    <definedName hidden="1" localSheetId="12" name="_xlnm._FilterDatabase">'April 26'!$A$1:$G$30</definedName>
  </definedNames>
  <calcPr/>
  <extLst>
    <ext uri="GoogleSheetsCustomDataVersion2">
      <go:sheetsCustomData xmlns:go="http://customooxmlschemas.google.com/" r:id="rId17" roundtripDataChecksum="PPRh5KfWy1hbjVBtrLdqH+Ky0ut0H2FHBh3GGldUAuc="/>
    </ext>
  </extLst>
</workbook>
</file>

<file path=xl/sharedStrings.xml><?xml version="1.0" encoding="utf-8"?>
<sst xmlns="http://schemas.openxmlformats.org/spreadsheetml/2006/main" count="1019" uniqueCount="139">
  <si>
    <t>Old(Dec)</t>
  </si>
  <si>
    <t>New(April)</t>
  </si>
  <si>
    <t>Diff</t>
  </si>
  <si>
    <t>Deduction</t>
  </si>
  <si>
    <t>Old</t>
  </si>
  <si>
    <t>New</t>
  </si>
  <si>
    <t>Basic Salary</t>
  </si>
  <si>
    <t>PF Contribution</t>
  </si>
  <si>
    <t>HRA</t>
  </si>
  <si>
    <t>Professional Tax</t>
  </si>
  <si>
    <t>Medical Allowance</t>
  </si>
  <si>
    <t>LWF Contribution</t>
  </si>
  <si>
    <t>Transport Allowance</t>
  </si>
  <si>
    <t>Income Tax</t>
  </si>
  <si>
    <t>Leave Travel Allowance</t>
  </si>
  <si>
    <t>Infosys Welfare Trust</t>
  </si>
  <si>
    <t>Superannuation Allowance</t>
  </si>
  <si>
    <t>Health Insurance Premium</t>
  </si>
  <si>
    <t>BonusExgratia-AdvancePmt</t>
  </si>
  <si>
    <t>Performance Bonus</t>
  </si>
  <si>
    <t>Total</t>
  </si>
  <si>
    <t>Net Pay</t>
  </si>
  <si>
    <t>To Pay</t>
  </si>
  <si>
    <t>To Get</t>
  </si>
  <si>
    <t>Status</t>
  </si>
  <si>
    <t>Mita Mausi</t>
  </si>
  <si>
    <t>2 lakh</t>
  </si>
  <si>
    <t xml:space="preserve">Pending </t>
  </si>
  <si>
    <t xml:space="preserve">Asutosh </t>
  </si>
  <si>
    <t>20K</t>
  </si>
  <si>
    <t>OLD</t>
  </si>
  <si>
    <t>NEW</t>
  </si>
  <si>
    <t>Categories</t>
  </si>
  <si>
    <t>Value</t>
  </si>
  <si>
    <t>Comments</t>
  </si>
  <si>
    <t>Savings</t>
  </si>
  <si>
    <t>Rent</t>
  </si>
  <si>
    <t>RD</t>
  </si>
  <si>
    <t>RD1</t>
  </si>
  <si>
    <t>MF</t>
  </si>
  <si>
    <t>car EMI</t>
  </si>
  <si>
    <t>Others</t>
  </si>
  <si>
    <t>Cook</t>
  </si>
  <si>
    <t>Milk</t>
  </si>
  <si>
    <t>Sub Total</t>
  </si>
  <si>
    <t>RD2</t>
  </si>
  <si>
    <t>RD3</t>
  </si>
  <si>
    <t>Term Insurance</t>
  </si>
  <si>
    <t>PF</t>
  </si>
  <si>
    <t>Credit EMI</t>
  </si>
  <si>
    <t>SA</t>
  </si>
  <si>
    <t>Electic Bill</t>
  </si>
  <si>
    <t>Groww MF1</t>
  </si>
  <si>
    <t>Groww MF2</t>
  </si>
  <si>
    <t>Other1</t>
  </si>
  <si>
    <t>Other2</t>
  </si>
  <si>
    <t>Fibre Recharge</t>
  </si>
  <si>
    <t>D2H</t>
  </si>
  <si>
    <t>SBI MF1</t>
  </si>
  <si>
    <t>SBI MF2</t>
  </si>
  <si>
    <t>Opened</t>
  </si>
  <si>
    <t>Groww MF3</t>
  </si>
  <si>
    <t>TBD</t>
  </si>
  <si>
    <t>RD4</t>
  </si>
  <si>
    <t>Groww MF4</t>
  </si>
  <si>
    <t>Total Expenditure</t>
  </si>
  <si>
    <t>total salary</t>
  </si>
  <si>
    <t>Total Salary</t>
  </si>
  <si>
    <t>Remaining</t>
  </si>
  <si>
    <t>Expenditure Calculator</t>
  </si>
  <si>
    <t>Expected Value</t>
  </si>
  <si>
    <t>Actual Value</t>
  </si>
  <si>
    <t>Completed</t>
  </si>
  <si>
    <t>Pending</t>
  </si>
  <si>
    <t>mind</t>
  </si>
  <si>
    <t>2yr</t>
  </si>
  <si>
    <t>delivery</t>
  </si>
  <si>
    <t>rice</t>
  </si>
  <si>
    <t>december</t>
  </si>
  <si>
    <t>marriage</t>
  </si>
  <si>
    <t>mausi</t>
  </si>
  <si>
    <t>ca</t>
  </si>
  <si>
    <t>insurance</t>
  </si>
  <si>
    <r>
      <rPr>
        <rFont val="Aptos Narrow"/>
        <color theme="1"/>
        <sz val="16.0"/>
      </rPr>
      <t>RD3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</si>
  <si>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MF3 </t>
    </r>
    <r>
      <rPr>
        <rFont val="Aptos Narrow (Body)"/>
        <color rgb="FFFF0000"/>
        <sz val="16.0"/>
      </rPr>
      <t>( New )</t>
    </r>
  </si>
  <si>
    <r>
      <rPr>
        <rFont val="Aptos Narrow"/>
        <color theme="1"/>
        <sz val="16.0"/>
      </rPr>
      <t>RD4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</si>
  <si>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MF4 </t>
    </r>
    <r>
      <rPr>
        <rFont val="Aptos Narrow (Body)"/>
        <color rgb="FFFF0000"/>
        <sz val="16.0"/>
      </rPr>
      <t>( New )</t>
    </r>
  </si>
  <si>
    <t>Groceries</t>
  </si>
  <si>
    <t>Send HDFC</t>
  </si>
  <si>
    <t>Gifts</t>
  </si>
  <si>
    <t>Sweets/Pizza</t>
  </si>
  <si>
    <t>iWish</t>
  </si>
  <si>
    <t>Petrol</t>
  </si>
  <si>
    <t>Send SBI</t>
  </si>
  <si>
    <t>Receive SBI</t>
  </si>
  <si>
    <t>Bike Insurance</t>
  </si>
  <si>
    <t>Cash Withdrwal</t>
  </si>
  <si>
    <t>Bike Repair</t>
  </si>
  <si>
    <t>Course</t>
  </si>
  <si>
    <t>Silver</t>
  </si>
  <si>
    <t>Miscellaneous</t>
  </si>
  <si>
    <t>Expected  Expenditure</t>
  </si>
  <si>
    <t>Actual  Expenditure</t>
  </si>
  <si>
    <t>FD</t>
  </si>
  <si>
    <t>Liquid</t>
  </si>
  <si>
    <t>Sum</t>
  </si>
  <si>
    <r>
      <rPr>
        <rFont val="Aptos Narrow"/>
        <color theme="1"/>
        <sz val="16.0"/>
      </rPr>
      <t>RD3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</si>
  <si>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MF3 </t>
    </r>
    <r>
      <rPr>
        <rFont val="Aptos Narrow (Body)"/>
        <color rgb="FFFF0000"/>
        <sz val="16.0"/>
      </rPr>
      <t>( New )</t>
    </r>
  </si>
  <si>
    <r>
      <rPr>
        <rFont val="Aptos Narrow"/>
        <color theme="1"/>
        <sz val="16.0"/>
      </rPr>
      <t>RD4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</si>
  <si>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MF4 </t>
    </r>
    <r>
      <rPr>
        <rFont val="Aptos Narrow (Body)"/>
        <color rgb="FFFF0000"/>
        <sz val="16.0"/>
      </rPr>
      <t>( New )</t>
    </r>
  </si>
  <si>
    <t>FD ( Temporary )</t>
  </si>
  <si>
    <t>Medical</t>
  </si>
  <si>
    <r>
      <rPr>
        <rFont val="Aptos Narrow"/>
        <color theme="1"/>
        <sz val="16.0"/>
      </rPr>
      <t>RD3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</si>
  <si>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MF3 </t>
    </r>
    <r>
      <rPr>
        <rFont val="Aptos Narrow (Body)"/>
        <color rgb="FFFF0000"/>
        <sz val="16.0"/>
      </rPr>
      <t>( New )</t>
    </r>
  </si>
  <si>
    <r>
      <rPr>
        <rFont val="Aptos Narrow"/>
        <color theme="1"/>
        <sz val="16.0"/>
      </rPr>
      <t>RD4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</si>
  <si>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MF4 </t>
    </r>
    <r>
      <rPr>
        <rFont val="Aptos Narrow (Body)"/>
        <color rgb="FFFF0000"/>
        <sz val="16.0"/>
      </rPr>
      <t>( New )</t>
    </r>
  </si>
  <si>
    <t>InProgress</t>
  </si>
  <si>
    <t>Fibre + Mobile Recharge</t>
  </si>
  <si>
    <r>
      <rPr>
        <rFont val="Aptos Narrow"/>
        <color theme="1"/>
        <sz val="16.0"/>
      </rPr>
      <t>RD3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</si>
  <si>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MF3 </t>
    </r>
    <r>
      <rPr>
        <rFont val="Aptos Narrow (Body)"/>
        <color rgb="FFFF0000"/>
        <sz val="16.0"/>
      </rPr>
      <t>( New )</t>
    </r>
  </si>
  <si>
    <t>Insurance(Platinum)</t>
  </si>
  <si>
    <t>Before RD &amp; iWish break</t>
  </si>
  <si>
    <t xml:space="preserve">After RD and iWish withdrawal </t>
  </si>
  <si>
    <t xml:space="preserve">Total medical expenditure </t>
  </si>
  <si>
    <t>RD + iWish</t>
  </si>
  <si>
    <t xml:space="preserve">Remaining </t>
  </si>
  <si>
    <t>Send to SBi</t>
  </si>
  <si>
    <r>
      <rPr>
        <rFont val="Aptos Narrow"/>
        <color theme="1"/>
        <sz val="16.0"/>
      </rPr>
      <t>RD3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</si>
  <si>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MF3 </t>
    </r>
    <r>
      <rPr>
        <rFont val="Aptos Narrow (Body)"/>
        <color rgb="FFFF0000"/>
        <sz val="16.0"/>
      </rPr>
      <t>( New )</t>
    </r>
  </si>
  <si>
    <r>
      <rPr>
        <rFont val="Aptos Narrow"/>
        <color theme="1"/>
        <sz val="16.0"/>
      </rPr>
      <t>RD3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</si>
  <si>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MF3 </t>
    </r>
    <r>
      <rPr>
        <rFont val="Aptos Narrow (Body)"/>
        <color rgb="FFFF0000"/>
        <sz val="16.0"/>
      </rPr>
      <t>( New )</t>
    </r>
  </si>
  <si>
    <r>
      <rPr>
        <rFont val="Aptos Narrow"/>
        <color theme="1"/>
        <sz val="16.0"/>
      </rPr>
      <t>RD3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</si>
  <si>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MF3 </t>
    </r>
    <r>
      <rPr>
        <rFont val="Aptos Narrow (Body)"/>
        <color rgb="FFFF0000"/>
        <sz val="16.0"/>
      </rPr>
      <t>( New )</t>
    </r>
  </si>
  <si>
    <r>
      <rPr>
        <rFont val="Aptos Narrow"/>
        <color theme="1"/>
        <sz val="16.0"/>
      </rPr>
      <t>RD3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</si>
  <si>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MF3 </t>
    </r>
    <r>
      <rPr>
        <rFont val="Aptos Narrow (Body)"/>
        <color rgb="FFFF0000"/>
        <sz val="16.0"/>
      </rPr>
      <t>( New )</t>
    </r>
  </si>
  <si>
    <r>
      <rPr>
        <rFont val="Aptos Narrow"/>
        <color theme="1"/>
        <sz val="16.0"/>
      </rPr>
      <t>RD3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</si>
  <si>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MF3 </t>
    </r>
    <r>
      <rPr>
        <rFont val="Aptos Narrow (Body)"/>
        <color rgb="FFFF0000"/>
        <sz val="16.0"/>
      </rPr>
      <t>( New )</t>
    </r>
  </si>
  <si>
    <r>
      <rPr>
        <rFont val="Aptos Narrow"/>
        <color theme="1"/>
        <sz val="16.0"/>
      </rPr>
      <t>RD3</t>
    </r>
    <r>
      <rPr>
        <rFont val="Aptos Narrow (Body)"/>
        <color rgb="FFFF0000"/>
        <sz val="16.0"/>
      </rPr>
      <t xml:space="preserve"> ( New )</t>
    </r>
  </si>
  <si>
    <r>
      <rPr>
        <rFont val="Aptos Narrow"/>
        <color theme="1"/>
        <sz val="16.0"/>
      </rPr>
      <t xml:space="preserve">Groww MF3 </t>
    </r>
    <r>
      <rPr>
        <rFont val="Aptos Narrow (Body)"/>
        <color rgb="FFFF0000"/>
        <sz val="16.0"/>
      </rPr>
      <t>( New 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</si>
</sst>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  <font>
      <sz val="12.0"/>
      <color rgb="FFFF0000"/>
      <name val="Aptos Narrow"/>
    </font>
    <font/>
    <font>
      <b/>
      <sz val="16.0"/>
      <color theme="1"/>
      <name val="Aptos Narrow"/>
    </font>
    <font>
      <sz val="18.0"/>
      <color theme="1"/>
      <name val="Aptos Narrow"/>
    </font>
    <font>
      <sz val="16.0"/>
      <color theme="1"/>
      <name val="Aptos Narrow"/>
    </font>
    <font>
      <sz val="16.0"/>
      <color theme="1"/>
      <name val="Arial"/>
    </font>
    <font>
      <sz val="18.0"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1" numFmtId="4" xfId="0" applyFont="1" applyNumberFormat="1"/>
    <xf borderId="0" fillId="0" fontId="3" numFmtId="4" xfId="0" applyFont="1" applyNumberFormat="1"/>
    <xf borderId="1" fillId="3" fontId="1" numFmtId="4" xfId="0" applyBorder="1" applyFill="1" applyFont="1" applyNumberFormat="1"/>
    <xf borderId="1" fillId="4" fontId="1" numFmtId="4" xfId="0" applyBorder="1" applyFill="1" applyFont="1" applyNumberFormat="1"/>
    <xf borderId="0" fillId="0" fontId="2" numFmtId="0" xfId="0" applyAlignment="1" applyFont="1">
      <alignment readingOrder="0"/>
    </xf>
    <xf borderId="2" fillId="2" fontId="1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5" fontId="1" numFmtId="0" xfId="0" applyBorder="1" applyFill="1" applyFont="1"/>
    <xf borderId="2" fillId="6" fontId="1" numFmtId="0" xfId="0" applyAlignment="1" applyBorder="1" applyFill="1" applyFont="1">
      <alignment horizontal="center"/>
    </xf>
    <xf borderId="5" fillId="0" fontId="1" numFmtId="0" xfId="0" applyBorder="1" applyFont="1"/>
    <xf borderId="5" fillId="0" fontId="3" numFmtId="0" xfId="0" applyBorder="1" applyFont="1"/>
    <xf borderId="5" fillId="2" fontId="1" numFmtId="0" xfId="0" applyBorder="1" applyFont="1"/>
    <xf borderId="5" fillId="0" fontId="1" numFmtId="4" xfId="0" applyBorder="1" applyFont="1" applyNumberFormat="1"/>
    <xf borderId="2" fillId="5" fontId="5" numFmtId="0" xfId="0" applyAlignment="1" applyBorder="1" applyFont="1">
      <alignment horizontal="center" vertical="center"/>
    </xf>
    <xf borderId="0" fillId="0" fontId="6" numFmtId="0" xfId="0" applyFont="1"/>
    <xf borderId="5" fillId="0" fontId="7" numFmtId="0" xfId="0" applyBorder="1" applyFont="1"/>
    <xf borderId="0" fillId="0" fontId="7" numFmtId="0" xfId="0" applyFont="1"/>
    <xf borderId="5" fillId="0" fontId="6" numFmtId="0" xfId="0" applyBorder="1" applyFont="1"/>
    <xf borderId="5" fillId="0" fontId="6" numFmtId="4" xfId="0" applyBorder="1" applyFont="1" applyNumberFormat="1"/>
    <xf borderId="0" fillId="0" fontId="6" numFmtId="4" xfId="0" applyFont="1" applyNumberFormat="1"/>
    <xf borderId="0" fillId="0" fontId="8" numFmtId="0" xfId="0" applyAlignment="1" applyFont="1">
      <alignment readingOrder="0"/>
    </xf>
    <xf borderId="5" fillId="0" fontId="7" numFmtId="0" xfId="0" applyAlignment="1" applyBorder="1" applyFont="1">
      <alignment readingOrder="0"/>
    </xf>
    <xf borderId="5" fillId="0" fontId="8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5" fillId="0" fontId="9" numFmtId="4" xfId="0" applyAlignment="1" applyBorder="1" applyFont="1" applyNumberFormat="1">
      <alignment readingOrder="0"/>
    </xf>
    <xf borderId="0" fillId="0" fontId="10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2">
    <dxf>
      <font>
        <color rgb="FF9C0006"/>
      </font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67"/>
    <col customWidth="1" min="2" max="4" width="10.67"/>
    <col customWidth="1" min="5" max="7" width="10.56"/>
    <col customWidth="1" min="8" max="8" width="22.78"/>
    <col customWidth="1" min="9" max="9" width="11.44"/>
    <col customWidth="1" min="10" max="26" width="10.56"/>
  </cols>
  <sheetData>
    <row r="1" ht="15.75" customHeight="1">
      <c r="B1" s="1" t="s">
        <v>0</v>
      </c>
      <c r="C1" s="1"/>
      <c r="D1" s="1" t="s">
        <v>1</v>
      </c>
      <c r="E1" s="2" t="s">
        <v>2</v>
      </c>
      <c r="H1" s="2" t="s">
        <v>3</v>
      </c>
      <c r="I1" s="1" t="s">
        <v>4</v>
      </c>
      <c r="J1" s="1"/>
      <c r="K1" s="1" t="s">
        <v>5</v>
      </c>
    </row>
    <row r="2" ht="15.75" customHeight="1">
      <c r="A2" s="2" t="s">
        <v>6</v>
      </c>
      <c r="B2" s="3">
        <v>100010.0</v>
      </c>
      <c r="C2" s="3"/>
      <c r="D2" s="2">
        <v>105020.0</v>
      </c>
      <c r="E2" s="3">
        <f t="shared" ref="E2:E9" si="1">D2-B2</f>
        <v>5010</v>
      </c>
      <c r="H2" s="2" t="s">
        <v>7</v>
      </c>
      <c r="I2" s="3">
        <v>12001.0</v>
      </c>
      <c r="J2" s="3"/>
      <c r="K2" s="2">
        <v>12602.0</v>
      </c>
      <c r="M2" s="3">
        <f t="shared" ref="M2:M9" si="2">K2-I2</f>
        <v>601</v>
      </c>
    </row>
    <row r="3" ht="15.75" customHeight="1">
      <c r="A3" s="2" t="s">
        <v>8</v>
      </c>
      <c r="B3" s="3">
        <v>19270.0</v>
      </c>
      <c r="C3" s="3"/>
      <c r="D3" s="2">
        <v>20229.0</v>
      </c>
      <c r="E3" s="3">
        <f t="shared" si="1"/>
        <v>959</v>
      </c>
      <c r="H3" s="2" t="s">
        <v>9</v>
      </c>
      <c r="I3" s="2">
        <v>200.0</v>
      </c>
      <c r="J3" s="3"/>
      <c r="K3" s="2">
        <v>200.0</v>
      </c>
      <c r="M3" s="3">
        <f t="shared" si="2"/>
        <v>0</v>
      </c>
    </row>
    <row r="4" ht="15.75" customHeight="1">
      <c r="A4" s="2" t="s">
        <v>10</v>
      </c>
      <c r="B4" s="3">
        <v>12044.0</v>
      </c>
      <c r="C4" s="3"/>
      <c r="D4" s="2">
        <v>12643.0</v>
      </c>
      <c r="E4" s="3">
        <f t="shared" si="1"/>
        <v>599</v>
      </c>
      <c r="H4" s="2" t="s">
        <v>11</v>
      </c>
      <c r="I4" s="2">
        <v>0.0</v>
      </c>
      <c r="K4" s="2">
        <v>0.0</v>
      </c>
      <c r="M4" s="3">
        <f t="shared" si="2"/>
        <v>0</v>
      </c>
    </row>
    <row r="5" ht="15.75" customHeight="1">
      <c r="A5" s="2" t="s">
        <v>12</v>
      </c>
      <c r="B5" s="3">
        <v>4818.0</v>
      </c>
      <c r="C5" s="3"/>
      <c r="D5" s="2">
        <v>5057.0</v>
      </c>
      <c r="E5" s="3">
        <f t="shared" si="1"/>
        <v>239</v>
      </c>
      <c r="H5" s="2" t="s">
        <v>13</v>
      </c>
      <c r="I5" s="4">
        <v>31587.0</v>
      </c>
      <c r="J5" s="3"/>
      <c r="K5" s="2">
        <v>18863.0</v>
      </c>
      <c r="M5" s="4">
        <f t="shared" si="2"/>
        <v>-12724</v>
      </c>
    </row>
    <row r="6" ht="15.75" customHeight="1">
      <c r="A6" s="2" t="s">
        <v>14</v>
      </c>
      <c r="B6" s="3">
        <v>12044.0</v>
      </c>
      <c r="C6" s="3"/>
      <c r="D6" s="2">
        <v>12643.0</v>
      </c>
      <c r="E6" s="3">
        <f t="shared" si="1"/>
        <v>599</v>
      </c>
      <c r="H6" s="2" t="s">
        <v>15</v>
      </c>
      <c r="I6" s="2">
        <v>425.0</v>
      </c>
      <c r="J6" s="3"/>
      <c r="K6" s="2">
        <v>425.0</v>
      </c>
      <c r="M6" s="3">
        <f t="shared" si="2"/>
        <v>0</v>
      </c>
    </row>
    <row r="7" ht="15.75" customHeight="1">
      <c r="A7" s="2" t="s">
        <v>16</v>
      </c>
      <c r="B7" s="3">
        <v>2502.0</v>
      </c>
      <c r="C7" s="3"/>
      <c r="D7" s="2">
        <v>3253.0</v>
      </c>
      <c r="E7" s="3">
        <f t="shared" si="1"/>
        <v>751</v>
      </c>
      <c r="H7" s="2" t="s">
        <v>17</v>
      </c>
      <c r="I7" s="2">
        <v>0.0</v>
      </c>
      <c r="J7" s="3"/>
      <c r="K7" s="2">
        <v>0.0</v>
      </c>
      <c r="M7" s="3">
        <f t="shared" si="2"/>
        <v>0</v>
      </c>
    </row>
    <row r="8" ht="15.75" customHeight="1">
      <c r="A8" s="2" t="s">
        <v>18</v>
      </c>
      <c r="B8" s="3">
        <v>19002.0</v>
      </c>
      <c r="C8" s="3"/>
      <c r="D8" s="2">
        <v>19954.0</v>
      </c>
      <c r="E8" s="3">
        <f t="shared" si="1"/>
        <v>952</v>
      </c>
      <c r="M8" s="3">
        <f t="shared" si="2"/>
        <v>0</v>
      </c>
    </row>
    <row r="9" ht="15.75" customHeight="1">
      <c r="A9" s="2" t="s">
        <v>19</v>
      </c>
      <c r="B9" s="2">
        <v>0.0</v>
      </c>
      <c r="D9" s="2">
        <v>0.0</v>
      </c>
      <c r="E9" s="3">
        <f t="shared" si="1"/>
        <v>0</v>
      </c>
      <c r="H9" s="2" t="s">
        <v>20</v>
      </c>
      <c r="I9" s="3">
        <f>SUM(I2:I7)</f>
        <v>44213</v>
      </c>
      <c r="K9" s="3">
        <f>SUM(K2:K7)</f>
        <v>32090</v>
      </c>
      <c r="M9" s="3">
        <f t="shared" si="2"/>
        <v>-12123</v>
      </c>
    </row>
    <row r="10" ht="15.75" customHeight="1"/>
    <row r="11" ht="15.75" customHeight="1">
      <c r="A11" s="2" t="s">
        <v>20</v>
      </c>
      <c r="B11" s="3">
        <f>SUM(B2:B9)</f>
        <v>169690</v>
      </c>
      <c r="D11" s="3">
        <f>SUM(D2:D9)</f>
        <v>178799</v>
      </c>
      <c r="H11" s="2" t="s">
        <v>21</v>
      </c>
      <c r="I11" s="5">
        <f>B11-I9</f>
        <v>125477</v>
      </c>
      <c r="K11" s="3">
        <f>D11-K9</f>
        <v>146709</v>
      </c>
    </row>
    <row r="12" ht="15.75" customHeight="1">
      <c r="E12" s="6">
        <f>D11-B11</f>
        <v>9109</v>
      </c>
      <c r="L12" s="6">
        <f>K11-I11</f>
        <v>21232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B1" s="7" t="s">
        <v>22</v>
      </c>
      <c r="C1" s="7" t="s">
        <v>23</v>
      </c>
      <c r="D1" s="7" t="s">
        <v>24</v>
      </c>
    </row>
    <row r="2">
      <c r="A2" s="7" t="s">
        <v>25</v>
      </c>
      <c r="B2" s="7" t="s">
        <v>26</v>
      </c>
      <c r="D2" s="7" t="s">
        <v>27</v>
      </c>
    </row>
    <row r="3">
      <c r="A3" s="7" t="s">
        <v>28</v>
      </c>
      <c r="C3" s="7" t="s">
        <v>29</v>
      </c>
      <c r="D3" s="7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" width="7.11"/>
    <col customWidth="1" min="3" max="3" width="10.67"/>
    <col customWidth="1" min="4" max="8" width="10.56"/>
    <col customWidth="1" min="9" max="9" width="15.11"/>
    <col customWidth="1" min="10" max="11" width="10.78"/>
    <col customWidth="1" min="12" max="26" width="10.56"/>
  </cols>
  <sheetData>
    <row r="1" ht="15.75" customHeight="1">
      <c r="A1" s="8" t="s">
        <v>30</v>
      </c>
      <c r="B1" s="9"/>
      <c r="C1" s="9"/>
      <c r="D1" s="9"/>
      <c r="E1" s="9"/>
      <c r="F1" s="10"/>
      <c r="G1" s="11"/>
      <c r="H1" s="11"/>
      <c r="I1" s="12" t="s">
        <v>31</v>
      </c>
      <c r="J1" s="9"/>
      <c r="K1" s="9"/>
      <c r="L1" s="9"/>
      <c r="M1" s="9"/>
      <c r="N1" s="10"/>
    </row>
    <row r="2" ht="15.75" customHeight="1">
      <c r="A2" s="13" t="s">
        <v>32</v>
      </c>
      <c r="B2" s="13" t="s">
        <v>33</v>
      </c>
      <c r="C2" s="13" t="s">
        <v>34</v>
      </c>
      <c r="E2" s="13" t="s">
        <v>35</v>
      </c>
      <c r="F2" s="13"/>
      <c r="G2" s="11"/>
      <c r="H2" s="11"/>
      <c r="I2" s="13" t="s">
        <v>32</v>
      </c>
      <c r="J2" s="13" t="s">
        <v>33</v>
      </c>
      <c r="K2" s="13" t="s">
        <v>34</v>
      </c>
      <c r="M2" s="13" t="s">
        <v>35</v>
      </c>
      <c r="N2" s="13"/>
    </row>
    <row r="3" ht="15.75" customHeight="1">
      <c r="A3" s="13" t="s">
        <v>36</v>
      </c>
      <c r="B3" s="13">
        <v>15500.0</v>
      </c>
      <c r="C3" s="13"/>
      <c r="E3" s="13" t="s">
        <v>37</v>
      </c>
      <c r="F3" s="13">
        <f>SUMIF(A:A, "*RD*", B:B)</f>
        <v>12000</v>
      </c>
      <c r="G3" s="11"/>
      <c r="H3" s="11"/>
      <c r="I3" s="13" t="s">
        <v>36</v>
      </c>
      <c r="J3" s="13">
        <v>15500.0</v>
      </c>
      <c r="K3" s="13"/>
      <c r="M3" s="13" t="s">
        <v>37</v>
      </c>
      <c r="N3" s="13">
        <f>SUMIF(I:I, "*RD*", J:J)</f>
        <v>22000</v>
      </c>
    </row>
    <row r="4" ht="15.75" customHeight="1">
      <c r="A4" s="13" t="s">
        <v>38</v>
      </c>
      <c r="B4" s="13">
        <v>2000.0</v>
      </c>
      <c r="C4" s="13"/>
      <c r="E4" s="13" t="s">
        <v>39</v>
      </c>
      <c r="F4" s="13">
        <f>SUMIF(A:A, "*MF*", B:B)</f>
        <v>12000</v>
      </c>
      <c r="G4" s="11"/>
      <c r="H4" s="11"/>
      <c r="I4" s="13" t="s">
        <v>38</v>
      </c>
      <c r="J4" s="13">
        <v>2000.0</v>
      </c>
      <c r="K4" s="13"/>
      <c r="M4" s="13" t="s">
        <v>39</v>
      </c>
      <c r="N4" s="13">
        <f>SUMIF(I:I, "*MF*", J:J)</f>
        <v>20000</v>
      </c>
    </row>
    <row r="5" ht="15.75" customHeight="1">
      <c r="A5" s="13" t="s">
        <v>40</v>
      </c>
      <c r="B5" s="13">
        <v>16392.0</v>
      </c>
      <c r="C5" s="13"/>
      <c r="E5" s="13" t="s">
        <v>41</v>
      </c>
      <c r="F5" s="13">
        <v>0.0</v>
      </c>
      <c r="G5" s="11"/>
      <c r="H5" s="11"/>
      <c r="I5" s="13" t="s">
        <v>40</v>
      </c>
      <c r="J5" s="13">
        <v>16392.0</v>
      </c>
      <c r="K5" s="13"/>
      <c r="M5" s="13" t="s">
        <v>41</v>
      </c>
      <c r="N5" s="13">
        <v>0.0</v>
      </c>
    </row>
    <row r="6" ht="15.75" customHeight="1">
      <c r="A6" s="13" t="s">
        <v>42</v>
      </c>
      <c r="B6" s="13">
        <v>3000.0</v>
      </c>
      <c r="C6" s="13"/>
      <c r="E6" s="13"/>
      <c r="F6" s="13"/>
      <c r="G6" s="11"/>
      <c r="H6" s="11"/>
      <c r="I6" s="13" t="s">
        <v>42</v>
      </c>
      <c r="J6" s="13">
        <v>3000.0</v>
      </c>
      <c r="K6" s="13"/>
      <c r="M6" s="13"/>
      <c r="N6" s="13"/>
    </row>
    <row r="7" ht="15.75" customHeight="1">
      <c r="A7" s="13" t="s">
        <v>43</v>
      </c>
      <c r="B7" s="13">
        <v>1000.0</v>
      </c>
      <c r="C7" s="13"/>
      <c r="E7" s="13" t="s">
        <v>44</v>
      </c>
      <c r="F7" s="13">
        <f>SUM(F3:F5)</f>
        <v>24000</v>
      </c>
      <c r="G7" s="11"/>
      <c r="H7" s="11"/>
      <c r="I7" s="13" t="s">
        <v>43</v>
      </c>
      <c r="J7" s="13">
        <v>1000.0</v>
      </c>
      <c r="K7" s="13"/>
      <c r="M7" s="13" t="s">
        <v>44</v>
      </c>
      <c r="N7" s="13">
        <f>SUM(N3:N5)</f>
        <v>42000</v>
      </c>
    </row>
    <row r="8" ht="15.75" customHeight="1">
      <c r="A8" s="13" t="s">
        <v>45</v>
      </c>
      <c r="B8" s="14">
        <v>5000.0</v>
      </c>
      <c r="C8" s="13"/>
      <c r="G8" s="11"/>
      <c r="H8" s="11"/>
      <c r="I8" s="13" t="s">
        <v>45</v>
      </c>
      <c r="J8" s="13">
        <v>5000.0</v>
      </c>
      <c r="K8" s="13"/>
    </row>
    <row r="9" ht="15.75" customHeight="1">
      <c r="A9" s="13" t="s">
        <v>46</v>
      </c>
      <c r="B9" s="14">
        <v>5000.0</v>
      </c>
      <c r="C9" s="13"/>
      <c r="G9" s="11"/>
      <c r="H9" s="11"/>
      <c r="I9" s="13" t="s">
        <v>46</v>
      </c>
      <c r="J9" s="13">
        <v>5000.0</v>
      </c>
      <c r="K9" s="13"/>
    </row>
    <row r="10" ht="15.75" customHeight="1">
      <c r="A10" s="13" t="s">
        <v>47</v>
      </c>
      <c r="B10" s="13">
        <v>2500.0</v>
      </c>
      <c r="C10" s="13"/>
      <c r="E10" s="13" t="s">
        <v>48</v>
      </c>
      <c r="F10" s="13">
        <v>24000.0</v>
      </c>
      <c r="G10" s="11"/>
      <c r="H10" s="11"/>
      <c r="I10" s="13" t="s">
        <v>47</v>
      </c>
      <c r="J10" s="13">
        <v>2500.0</v>
      </c>
      <c r="K10" s="13"/>
      <c r="M10" s="13" t="s">
        <v>48</v>
      </c>
      <c r="N10" s="13">
        <v>25204.0</v>
      </c>
    </row>
    <row r="11" ht="15.75" customHeight="1">
      <c r="A11" s="13" t="s">
        <v>49</v>
      </c>
      <c r="B11" s="13">
        <v>5313.0</v>
      </c>
      <c r="C11" s="13"/>
      <c r="E11" s="13" t="s">
        <v>50</v>
      </c>
      <c r="F11" s="13">
        <v>12500.0</v>
      </c>
      <c r="G11" s="11"/>
      <c r="H11" s="11"/>
      <c r="I11" s="13" t="s">
        <v>49</v>
      </c>
      <c r="J11" s="13">
        <v>5313.0</v>
      </c>
      <c r="K11" s="13"/>
      <c r="M11" s="13" t="s">
        <v>50</v>
      </c>
      <c r="N11" s="13">
        <v>12500.0</v>
      </c>
    </row>
    <row r="12" ht="15.75" customHeight="1">
      <c r="A12" s="13" t="s">
        <v>51</v>
      </c>
      <c r="B12" s="13">
        <v>3000.0</v>
      </c>
      <c r="C12" s="13"/>
      <c r="E12" s="13"/>
      <c r="F12" s="13"/>
      <c r="G12" s="11"/>
      <c r="H12" s="11"/>
      <c r="I12" s="13" t="s">
        <v>51</v>
      </c>
      <c r="J12" s="13">
        <v>3000.0</v>
      </c>
      <c r="K12" s="13"/>
      <c r="M12" s="13"/>
      <c r="N12" s="13"/>
    </row>
    <row r="13" ht="15.75" customHeight="1">
      <c r="A13" s="13" t="s">
        <v>52</v>
      </c>
      <c r="B13" s="14">
        <v>3000.0</v>
      </c>
      <c r="C13" s="13"/>
      <c r="E13" s="13" t="s">
        <v>44</v>
      </c>
      <c r="F13" s="13">
        <f>SUM(F10:F11)</f>
        <v>36500</v>
      </c>
      <c r="G13" s="11"/>
      <c r="H13" s="11"/>
      <c r="I13" s="13" t="s">
        <v>52</v>
      </c>
      <c r="J13" s="13">
        <v>3000.0</v>
      </c>
      <c r="K13" s="13"/>
      <c r="M13" s="13" t="s">
        <v>44</v>
      </c>
      <c r="N13" s="13">
        <f>SUM(N10:N11)</f>
        <v>37704</v>
      </c>
    </row>
    <row r="14" ht="15.75" customHeight="1">
      <c r="A14" s="13" t="s">
        <v>53</v>
      </c>
      <c r="B14" s="14">
        <v>5000.0</v>
      </c>
      <c r="C14" s="13"/>
      <c r="G14" s="11"/>
      <c r="H14" s="11"/>
      <c r="I14" s="13" t="s">
        <v>53</v>
      </c>
      <c r="J14" s="13">
        <v>5000.0</v>
      </c>
      <c r="K14" s="13"/>
    </row>
    <row r="15" ht="15.75" customHeight="1">
      <c r="A15" s="13" t="s">
        <v>54</v>
      </c>
      <c r="B15" s="13">
        <v>6000.0</v>
      </c>
      <c r="C15" s="13"/>
      <c r="G15" s="11"/>
      <c r="H15" s="11"/>
      <c r="I15" s="13" t="s">
        <v>54</v>
      </c>
      <c r="J15" s="15">
        <v>9000.0</v>
      </c>
      <c r="K15" s="13"/>
    </row>
    <row r="16" ht="15.75" customHeight="1">
      <c r="A16" s="13" t="s">
        <v>55</v>
      </c>
      <c r="B16" s="13">
        <v>5000.0</v>
      </c>
      <c r="C16" s="13"/>
      <c r="G16" s="11"/>
      <c r="H16" s="11"/>
      <c r="I16" s="13" t="s">
        <v>55</v>
      </c>
      <c r="J16" s="13">
        <v>5000.0</v>
      </c>
      <c r="K16" s="13"/>
    </row>
    <row r="17" ht="15.75" customHeight="1">
      <c r="A17" s="13" t="s">
        <v>56</v>
      </c>
      <c r="B17" s="13">
        <v>1500.0</v>
      </c>
      <c r="C17" s="13"/>
      <c r="E17" s="13" t="s">
        <v>20</v>
      </c>
      <c r="F17" s="13">
        <f>SUMIF(E:E, "*Sub Total*", F:F)</f>
        <v>60500</v>
      </c>
      <c r="G17" s="11"/>
      <c r="H17" s="11"/>
      <c r="I17" s="13" t="s">
        <v>56</v>
      </c>
      <c r="J17" s="13">
        <v>1500.0</v>
      </c>
      <c r="K17" s="13"/>
      <c r="M17" s="13" t="s">
        <v>20</v>
      </c>
      <c r="N17" s="13">
        <f>SUMIF(M:M, "*Sub Total*", N:N)</f>
        <v>79704</v>
      </c>
    </row>
    <row r="18" ht="15.75" customHeight="1">
      <c r="A18" s="13" t="s">
        <v>57</v>
      </c>
      <c r="B18" s="13">
        <v>350.0</v>
      </c>
      <c r="C18" s="13"/>
      <c r="G18" s="11"/>
      <c r="H18" s="11"/>
      <c r="I18" s="13" t="s">
        <v>57</v>
      </c>
      <c r="J18" s="13">
        <v>350.0</v>
      </c>
      <c r="K18" s="13"/>
    </row>
    <row r="19" ht="15.75" customHeight="1">
      <c r="A19" s="13" t="s">
        <v>58</v>
      </c>
      <c r="B19" s="14">
        <v>2000.0</v>
      </c>
      <c r="C19" s="13"/>
      <c r="G19" s="11"/>
      <c r="H19" s="11"/>
      <c r="I19" s="13" t="s">
        <v>58</v>
      </c>
      <c r="J19" s="13">
        <v>2000.0</v>
      </c>
      <c r="K19" s="13"/>
    </row>
    <row r="20" ht="15.75" customHeight="1">
      <c r="A20" s="13" t="s">
        <v>59</v>
      </c>
      <c r="B20" s="13">
        <v>2000.0</v>
      </c>
      <c r="C20" s="13"/>
      <c r="G20" s="11"/>
      <c r="H20" s="11"/>
      <c r="I20" s="13" t="s">
        <v>59</v>
      </c>
      <c r="J20" s="13">
        <v>2000.0</v>
      </c>
      <c r="K20" s="13"/>
    </row>
    <row r="21" ht="15.75" customHeight="1">
      <c r="A21" s="13"/>
      <c r="B21" s="13"/>
      <c r="C21" s="13"/>
      <c r="G21" s="11"/>
      <c r="H21" s="11"/>
      <c r="I21" s="13" t="s">
        <v>46</v>
      </c>
      <c r="J21" s="13">
        <v>5000.0</v>
      </c>
      <c r="K21" s="13" t="s">
        <v>60</v>
      </c>
    </row>
    <row r="22" ht="15.75" customHeight="1">
      <c r="A22" s="13"/>
      <c r="B22" s="13"/>
      <c r="C22" s="13"/>
      <c r="G22" s="11"/>
      <c r="H22" s="11"/>
      <c r="I22" s="13" t="s">
        <v>61</v>
      </c>
      <c r="J22" s="13">
        <v>5000.0</v>
      </c>
      <c r="K22" s="13" t="s">
        <v>62</v>
      </c>
    </row>
    <row r="23" ht="15.75" customHeight="1">
      <c r="A23" s="13"/>
      <c r="B23" s="13"/>
      <c r="C23" s="13"/>
      <c r="G23" s="11"/>
      <c r="H23" s="11"/>
      <c r="I23" s="13" t="s">
        <v>63</v>
      </c>
      <c r="J23" s="13">
        <v>5000.0</v>
      </c>
      <c r="K23" s="13" t="s">
        <v>62</v>
      </c>
    </row>
    <row r="24" ht="15.75" customHeight="1">
      <c r="A24" s="13"/>
      <c r="B24" s="13"/>
      <c r="C24" s="13"/>
      <c r="G24" s="11"/>
      <c r="H24" s="11"/>
      <c r="I24" s="13" t="s">
        <v>64</v>
      </c>
      <c r="J24" s="13">
        <v>3000.0</v>
      </c>
      <c r="K24" s="13" t="s">
        <v>62</v>
      </c>
    </row>
    <row r="25" ht="15.75" customHeight="1">
      <c r="A25" s="13" t="s">
        <v>65</v>
      </c>
      <c r="B25" s="13">
        <f>SUM(B3:B20)</f>
        <v>83555</v>
      </c>
      <c r="C25" s="13"/>
      <c r="G25" s="11"/>
      <c r="H25" s="11"/>
      <c r="I25" s="13" t="s">
        <v>65</v>
      </c>
      <c r="J25" s="13">
        <f>SUM(J3:J24)</f>
        <v>104555</v>
      </c>
      <c r="K25" s="13"/>
    </row>
    <row r="26" ht="15.75" customHeight="1">
      <c r="A26" s="13"/>
      <c r="B26" s="13"/>
      <c r="C26" s="13"/>
      <c r="G26" s="11"/>
      <c r="H26" s="11"/>
      <c r="I26" s="13"/>
      <c r="J26" s="13"/>
      <c r="K26" s="13"/>
    </row>
    <row r="27" ht="15.75" customHeight="1">
      <c r="A27" s="13" t="s">
        <v>66</v>
      </c>
      <c r="B27" s="13">
        <v>125477.0</v>
      </c>
      <c r="C27" s="16">
        <v>146709.0</v>
      </c>
      <c r="G27" s="11"/>
      <c r="H27" s="11"/>
      <c r="I27" s="13"/>
      <c r="J27" s="13"/>
      <c r="K27" s="13"/>
    </row>
    <row r="28" ht="15.75" customHeight="1">
      <c r="A28" s="13"/>
      <c r="B28" s="13"/>
      <c r="C28" s="13"/>
      <c r="G28" s="11"/>
      <c r="H28" s="11"/>
      <c r="I28" s="13" t="s">
        <v>67</v>
      </c>
      <c r="J28" s="13"/>
      <c r="K28" s="16">
        <v>146709.0</v>
      </c>
    </row>
    <row r="29" ht="15.75" customHeight="1">
      <c r="A29" s="13" t="s">
        <v>68</v>
      </c>
      <c r="B29" s="13">
        <f>B27-B25</f>
        <v>41922</v>
      </c>
      <c r="C29" s="16">
        <f>C27-B25</f>
        <v>63154</v>
      </c>
      <c r="G29" s="11"/>
      <c r="H29" s="11"/>
      <c r="I29" s="13"/>
      <c r="J29" s="13"/>
      <c r="K29" s="13"/>
    </row>
    <row r="30" ht="15.75" customHeight="1">
      <c r="G30" s="11"/>
      <c r="H30" s="11"/>
      <c r="I30" s="13" t="s">
        <v>68</v>
      </c>
      <c r="J30" s="13"/>
      <c r="K30" s="16">
        <f>K28-J25</f>
        <v>42154</v>
      </c>
    </row>
    <row r="31" ht="15.75" customHeight="1">
      <c r="G31" s="11"/>
      <c r="H31" s="11"/>
    </row>
    <row r="32" ht="15.75" customHeight="1">
      <c r="G32" s="11"/>
      <c r="H32" s="11"/>
    </row>
    <row r="33" ht="15.75" customHeight="1">
      <c r="G33" s="11"/>
      <c r="H33" s="11"/>
    </row>
    <row r="34" ht="15.75" customHeight="1">
      <c r="G34" s="11"/>
      <c r="H34" s="11"/>
    </row>
    <row r="35" ht="15.75" customHeight="1">
      <c r="G35" s="11"/>
      <c r="H35" s="11"/>
    </row>
    <row r="36" ht="15.75" customHeight="1">
      <c r="G36" s="11"/>
      <c r="H36" s="1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I1:N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29.0"/>
    <col customWidth="1" min="3" max="3" width="24.44"/>
    <col customWidth="1" min="4" max="4" width="22.0"/>
    <col customWidth="1" min="5" max="5" width="9.0"/>
    <col customWidth="1" min="6" max="6" width="16.0"/>
    <col customWidth="1" min="7" max="7" width="11.44"/>
    <col customWidth="1" min="8" max="9" width="10.56"/>
    <col customWidth="1" min="10" max="10" width="10.11"/>
    <col customWidth="1" min="11" max="11" width="6.11"/>
    <col customWidth="1" min="12" max="12" width="3.67"/>
    <col customWidth="1" min="13" max="13" width="9.33"/>
    <col customWidth="1" min="14" max="14" width="7.11"/>
    <col customWidth="1" min="15" max="26" width="10.56"/>
  </cols>
  <sheetData>
    <row r="1" ht="39.0" customHeight="1">
      <c r="A1" s="17" t="s">
        <v>69</v>
      </c>
      <c r="B1" s="9"/>
      <c r="C1" s="9"/>
      <c r="D1" s="9"/>
      <c r="E1" s="9"/>
      <c r="F1" s="9"/>
      <c r="G1" s="10"/>
      <c r="H1" s="18"/>
    </row>
    <row r="2" ht="15.75" customHeight="1">
      <c r="A2" s="19" t="s">
        <v>32</v>
      </c>
      <c r="B2" s="19" t="s">
        <v>70</v>
      </c>
      <c r="C2" s="19" t="s">
        <v>71</v>
      </c>
      <c r="D2" s="19" t="s">
        <v>34</v>
      </c>
      <c r="E2" s="20"/>
      <c r="F2" s="19" t="s">
        <v>35</v>
      </c>
      <c r="G2" s="19"/>
      <c r="H2" s="18"/>
    </row>
    <row r="3" ht="15.75" customHeight="1">
      <c r="A3" s="19" t="s">
        <v>36</v>
      </c>
      <c r="B3" s="19">
        <v>15500.0</v>
      </c>
      <c r="C3" s="19">
        <v>15500.0</v>
      </c>
      <c r="D3" s="19" t="s">
        <v>72</v>
      </c>
      <c r="E3" s="20"/>
      <c r="F3" s="19" t="s">
        <v>37</v>
      </c>
      <c r="G3" s="19">
        <f>SUMIF(A:A, "*RD*", C:C)</f>
        <v>17000</v>
      </c>
      <c r="H3" s="18"/>
      <c r="J3" s="2" t="s">
        <v>72</v>
      </c>
    </row>
    <row r="4" ht="15.75" customHeight="1">
      <c r="A4" s="19" t="s">
        <v>38</v>
      </c>
      <c r="B4" s="19">
        <v>2000.0</v>
      </c>
      <c r="C4" s="19">
        <v>2000.0</v>
      </c>
      <c r="D4" s="19" t="s">
        <v>72</v>
      </c>
      <c r="E4" s="20"/>
      <c r="F4" s="19" t="s">
        <v>39</v>
      </c>
      <c r="G4" s="19">
        <f>SUMIF(A:A, "*MF*", C:C)</f>
        <v>17000</v>
      </c>
      <c r="H4" s="18"/>
      <c r="J4" s="2" t="s">
        <v>73</v>
      </c>
    </row>
    <row r="5" ht="15.75" customHeight="1">
      <c r="A5" s="19" t="s">
        <v>40</v>
      </c>
      <c r="B5" s="19">
        <v>16392.0</v>
      </c>
      <c r="C5" s="19">
        <v>16392.0</v>
      </c>
      <c r="D5" s="19" t="s">
        <v>72</v>
      </c>
      <c r="E5" s="20"/>
      <c r="F5" s="19" t="s">
        <v>41</v>
      </c>
      <c r="G5" s="19">
        <v>0.0</v>
      </c>
      <c r="H5" s="18"/>
      <c r="J5" s="2" t="s">
        <v>62</v>
      </c>
    </row>
    <row r="6" ht="15.75" customHeight="1">
      <c r="A6" s="19" t="s">
        <v>42</v>
      </c>
      <c r="B6" s="19">
        <v>3000.0</v>
      </c>
      <c r="C6" s="19">
        <v>3000.0</v>
      </c>
      <c r="D6" s="19" t="s">
        <v>72</v>
      </c>
      <c r="E6" s="20"/>
      <c r="F6" s="19"/>
      <c r="G6" s="19"/>
      <c r="H6" s="18"/>
    </row>
    <row r="7" ht="15.75" customHeight="1">
      <c r="A7" s="19" t="s">
        <v>43</v>
      </c>
      <c r="B7" s="19">
        <v>1000.0</v>
      </c>
      <c r="C7" s="19">
        <v>945.0</v>
      </c>
      <c r="D7" s="19" t="s">
        <v>72</v>
      </c>
      <c r="E7" s="20"/>
      <c r="F7" s="19" t="s">
        <v>44</v>
      </c>
      <c r="G7" s="19">
        <f>SUM(G3:G5)</f>
        <v>34000</v>
      </c>
      <c r="H7" s="18"/>
      <c r="M7" s="2" t="s">
        <v>74</v>
      </c>
    </row>
    <row r="8" ht="15.75" customHeight="1">
      <c r="A8" s="19" t="s">
        <v>45</v>
      </c>
      <c r="B8" s="19">
        <v>5000.0</v>
      </c>
      <c r="C8" s="19">
        <v>5000.0</v>
      </c>
      <c r="D8" s="19" t="s">
        <v>72</v>
      </c>
      <c r="E8" s="20"/>
      <c r="F8" s="20"/>
      <c r="G8" s="20"/>
      <c r="H8" s="18"/>
      <c r="L8" s="2" t="s">
        <v>75</v>
      </c>
      <c r="M8" s="2" t="s">
        <v>76</v>
      </c>
      <c r="N8" s="2">
        <v>100000.0</v>
      </c>
    </row>
    <row r="9" ht="15.75" customHeight="1">
      <c r="A9" s="19" t="s">
        <v>46</v>
      </c>
      <c r="B9" s="19">
        <v>5000.0</v>
      </c>
      <c r="C9" s="19">
        <v>5000.0</v>
      </c>
      <c r="D9" s="19" t="s">
        <v>72</v>
      </c>
      <c r="E9" s="20"/>
      <c r="F9" s="20"/>
      <c r="G9" s="20"/>
      <c r="H9" s="18"/>
      <c r="M9" s="2" t="s">
        <v>77</v>
      </c>
      <c r="N9" s="2">
        <v>100000.0</v>
      </c>
    </row>
    <row r="10" ht="15.75" customHeight="1">
      <c r="A10" s="19" t="s">
        <v>47</v>
      </c>
      <c r="B10" s="19">
        <v>2500.0</v>
      </c>
      <c r="C10" s="19">
        <v>2433.0</v>
      </c>
      <c r="D10" s="19" t="s">
        <v>72</v>
      </c>
      <c r="E10" s="20"/>
      <c r="F10" s="19" t="s">
        <v>48</v>
      </c>
      <c r="G10" s="19">
        <v>25204.0</v>
      </c>
      <c r="H10" s="18"/>
      <c r="M10" s="2" t="s">
        <v>78</v>
      </c>
      <c r="N10" s="2">
        <v>30000.0</v>
      </c>
    </row>
    <row r="11" ht="15.75" customHeight="1">
      <c r="A11" s="19" t="s">
        <v>49</v>
      </c>
      <c r="B11" s="19">
        <v>5313.0</v>
      </c>
      <c r="C11" s="19">
        <v>5267.0</v>
      </c>
      <c r="D11" s="19" t="s">
        <v>72</v>
      </c>
      <c r="E11" s="20"/>
      <c r="F11" s="19" t="s">
        <v>50</v>
      </c>
      <c r="G11" s="19">
        <v>12500.0</v>
      </c>
      <c r="H11" s="18"/>
      <c r="M11" s="2" t="s">
        <v>79</v>
      </c>
      <c r="N11" s="2">
        <v>50000.0</v>
      </c>
    </row>
    <row r="12" ht="15.75" customHeight="1">
      <c r="A12" s="19" t="s">
        <v>51</v>
      </c>
      <c r="B12" s="19">
        <v>3000.0</v>
      </c>
      <c r="C12" s="19">
        <v>5718.0</v>
      </c>
      <c r="D12" s="19" t="s">
        <v>72</v>
      </c>
      <c r="E12" s="20"/>
      <c r="F12" s="19"/>
      <c r="G12" s="19"/>
      <c r="H12" s="18"/>
      <c r="M12" s="2" t="s">
        <v>80</v>
      </c>
      <c r="N12" s="2">
        <v>20000.0</v>
      </c>
    </row>
    <row r="13" ht="15.75" customHeight="1">
      <c r="A13" s="19" t="s">
        <v>52</v>
      </c>
      <c r="B13" s="19">
        <v>3000.0</v>
      </c>
      <c r="C13" s="19">
        <v>3000.0</v>
      </c>
      <c r="D13" s="19" t="s">
        <v>72</v>
      </c>
      <c r="E13" s="20"/>
      <c r="F13" s="19" t="s">
        <v>44</v>
      </c>
      <c r="G13" s="19">
        <f>SUM(G10:G11)</f>
        <v>37704</v>
      </c>
      <c r="H13" s="18"/>
      <c r="M13" s="2" t="s">
        <v>81</v>
      </c>
      <c r="N13" s="2">
        <v>12000.0</v>
      </c>
    </row>
    <row r="14" ht="15.75" customHeight="1">
      <c r="A14" s="19" t="s">
        <v>53</v>
      </c>
      <c r="B14" s="19">
        <v>5000.0</v>
      </c>
      <c r="C14" s="19">
        <v>5000.0</v>
      </c>
      <c r="D14" s="19" t="s">
        <v>72</v>
      </c>
      <c r="E14" s="20"/>
      <c r="F14" s="20"/>
      <c r="G14" s="20"/>
      <c r="H14" s="18"/>
      <c r="M14" s="2" t="s">
        <v>82</v>
      </c>
      <c r="N14" s="2">
        <v>20000.0</v>
      </c>
    </row>
    <row r="15" ht="15.75" customHeight="1">
      <c r="A15" s="19" t="s">
        <v>54</v>
      </c>
      <c r="B15" s="19">
        <v>9000.0</v>
      </c>
      <c r="C15" s="19">
        <v>6500.0</v>
      </c>
      <c r="D15" s="19" t="s">
        <v>72</v>
      </c>
      <c r="E15" s="20"/>
      <c r="F15" s="20"/>
      <c r="G15" s="20"/>
      <c r="H15" s="18"/>
      <c r="N15" s="2">
        <f>SUM(N8:N14)</f>
        <v>332000</v>
      </c>
    </row>
    <row r="16" ht="15.75" customHeight="1">
      <c r="A16" s="19" t="s">
        <v>55</v>
      </c>
      <c r="B16" s="19">
        <v>5000.0</v>
      </c>
      <c r="C16" s="19">
        <v>5000.0</v>
      </c>
      <c r="D16" s="19" t="s">
        <v>72</v>
      </c>
      <c r="E16" s="20"/>
      <c r="F16" s="20"/>
      <c r="G16" s="20"/>
      <c r="H16" s="18"/>
    </row>
    <row r="17" ht="15.75" customHeight="1">
      <c r="A17" s="19" t="s">
        <v>56</v>
      </c>
      <c r="B17" s="19">
        <v>1500.0</v>
      </c>
      <c r="C17" s="19">
        <v>1172.0</v>
      </c>
      <c r="D17" s="19" t="s">
        <v>72</v>
      </c>
      <c r="E17" s="20"/>
      <c r="F17" s="19" t="s">
        <v>20</v>
      </c>
      <c r="G17" s="19">
        <f>SUMIF(F:F, "*Sub Total*", G:G)</f>
        <v>71704</v>
      </c>
      <c r="H17" s="18"/>
    </row>
    <row r="18" ht="15.75" customHeight="1">
      <c r="A18" s="19" t="s">
        <v>57</v>
      </c>
      <c r="B18" s="19">
        <v>350.0</v>
      </c>
      <c r="C18" s="19">
        <v>360.0</v>
      </c>
      <c r="D18" s="19" t="s">
        <v>72</v>
      </c>
      <c r="E18" s="20"/>
      <c r="F18" s="20"/>
      <c r="G18" s="20"/>
      <c r="H18" s="18"/>
    </row>
    <row r="19" ht="15.75" customHeight="1">
      <c r="A19" s="19" t="s">
        <v>58</v>
      </c>
      <c r="B19" s="19">
        <v>2000.0</v>
      </c>
      <c r="C19" s="19">
        <v>2000.0</v>
      </c>
      <c r="D19" s="19" t="s">
        <v>72</v>
      </c>
      <c r="E19" s="20"/>
      <c r="F19" s="20"/>
      <c r="G19" s="20"/>
      <c r="H19" s="18"/>
    </row>
    <row r="20" ht="15.75" customHeight="1">
      <c r="A20" s="19" t="s">
        <v>59</v>
      </c>
      <c r="B20" s="19">
        <v>2000.0</v>
      </c>
      <c r="C20" s="19">
        <v>2000.0</v>
      </c>
      <c r="D20" s="19" t="s">
        <v>72</v>
      </c>
      <c r="E20" s="20"/>
      <c r="F20" s="20"/>
      <c r="G20" s="20"/>
      <c r="H20" s="18"/>
    </row>
    <row r="21" ht="15.75" customHeight="1">
      <c r="A21" s="19" t="s">
        <v>83</v>
      </c>
      <c r="B21" s="19">
        <v>5000.0</v>
      </c>
      <c r="C21" s="19">
        <v>5000.0</v>
      </c>
      <c r="D21" s="19" t="s">
        <v>72</v>
      </c>
      <c r="E21" s="20"/>
      <c r="F21" s="20"/>
      <c r="G21" s="20"/>
      <c r="H21" s="18"/>
    </row>
    <row r="22" ht="15.75" customHeight="1">
      <c r="A22" s="19" t="s">
        <v>84</v>
      </c>
      <c r="B22" s="19">
        <v>5000.0</v>
      </c>
      <c r="C22" s="19">
        <v>5000.0</v>
      </c>
      <c r="D22" s="19" t="s">
        <v>72</v>
      </c>
      <c r="E22" s="20"/>
      <c r="F22" s="20"/>
      <c r="G22" s="20"/>
      <c r="H22" s="18"/>
    </row>
    <row r="23" ht="15.75" customHeight="1">
      <c r="A23" s="19" t="s">
        <v>85</v>
      </c>
      <c r="B23" s="19">
        <v>0.0</v>
      </c>
      <c r="C23" s="19">
        <v>0.0</v>
      </c>
      <c r="D23" s="19" t="s">
        <v>62</v>
      </c>
      <c r="E23" s="20"/>
      <c r="F23" s="20"/>
      <c r="G23" s="20"/>
      <c r="H23" s="18"/>
    </row>
    <row r="24" ht="15.75" customHeight="1">
      <c r="A24" s="19" t="s">
        <v>86</v>
      </c>
      <c r="B24" s="19">
        <v>0.0</v>
      </c>
      <c r="C24" s="19">
        <v>0.0</v>
      </c>
      <c r="D24" s="19" t="s">
        <v>62</v>
      </c>
      <c r="E24" s="20"/>
      <c r="F24" s="20"/>
      <c r="G24" s="20"/>
      <c r="H24" s="18"/>
    </row>
    <row r="25" ht="15.75" customHeight="1">
      <c r="A25" s="19" t="s">
        <v>87</v>
      </c>
      <c r="B25" s="19">
        <v>0.0</v>
      </c>
      <c r="C25" s="19">
        <v>4661.0</v>
      </c>
      <c r="D25" s="19" t="s">
        <v>72</v>
      </c>
      <c r="E25" s="20"/>
      <c r="F25" s="20"/>
      <c r="G25" s="20"/>
      <c r="H25" s="18"/>
    </row>
    <row r="26" ht="15.75" customHeight="1">
      <c r="A26" s="19" t="s">
        <v>88</v>
      </c>
      <c r="B26" s="19">
        <v>0.0</v>
      </c>
      <c r="C26" s="19">
        <v>4000.0</v>
      </c>
      <c r="D26" s="19" t="s">
        <v>72</v>
      </c>
      <c r="E26" s="20"/>
      <c r="F26" s="20"/>
      <c r="G26" s="20"/>
      <c r="H26" s="18"/>
    </row>
    <row r="27" ht="15.75" customHeight="1">
      <c r="A27" s="19" t="s">
        <v>89</v>
      </c>
      <c r="B27" s="19">
        <v>0.0</v>
      </c>
      <c r="C27" s="19">
        <v>5315.0</v>
      </c>
      <c r="D27" s="19" t="s">
        <v>72</v>
      </c>
      <c r="E27" s="20"/>
      <c r="F27" s="20"/>
      <c r="G27" s="20"/>
      <c r="H27" s="18"/>
    </row>
    <row r="28" ht="15.75" customHeight="1">
      <c r="A28" s="19" t="s">
        <v>90</v>
      </c>
      <c r="B28" s="19">
        <v>0.0</v>
      </c>
      <c r="C28" s="19">
        <v>1000.0</v>
      </c>
      <c r="D28" s="19" t="s">
        <v>72</v>
      </c>
      <c r="E28" s="20"/>
      <c r="F28" s="20"/>
      <c r="G28" s="20"/>
      <c r="H28" s="18"/>
    </row>
    <row r="29" ht="15.75" customHeight="1">
      <c r="A29" s="19" t="s">
        <v>91</v>
      </c>
      <c r="B29" s="19">
        <v>0.0</v>
      </c>
      <c r="C29" s="19">
        <v>2100.0</v>
      </c>
      <c r="D29" s="19" t="s">
        <v>72</v>
      </c>
      <c r="E29" s="20"/>
      <c r="F29" s="20"/>
      <c r="G29" s="20"/>
      <c r="H29" s="18"/>
    </row>
    <row r="30" ht="15.75" customHeight="1">
      <c r="A30" s="19" t="s">
        <v>92</v>
      </c>
      <c r="B30" s="19">
        <v>0.0</v>
      </c>
      <c r="C30" s="19">
        <v>363.0</v>
      </c>
      <c r="D30" s="19" t="s">
        <v>72</v>
      </c>
      <c r="E30" s="20"/>
      <c r="F30" s="20"/>
      <c r="G30" s="20"/>
      <c r="H30" s="18"/>
    </row>
    <row r="31" ht="15.75" customHeight="1">
      <c r="A31" s="19" t="s">
        <v>93</v>
      </c>
      <c r="B31" s="19">
        <v>0.0</v>
      </c>
      <c r="C31" s="19">
        <v>0.0</v>
      </c>
      <c r="D31" s="19" t="s">
        <v>73</v>
      </c>
      <c r="E31" s="20"/>
      <c r="F31" s="20"/>
      <c r="G31" s="20"/>
      <c r="H31" s="18"/>
    </row>
    <row r="32" ht="15.75" customHeight="1">
      <c r="A32" s="19" t="s">
        <v>94</v>
      </c>
      <c r="B32" s="19">
        <v>0.0</v>
      </c>
      <c r="C32" s="19">
        <v>0.0</v>
      </c>
      <c r="D32" s="19" t="s">
        <v>73</v>
      </c>
      <c r="E32" s="20"/>
      <c r="F32" s="20"/>
      <c r="G32" s="20"/>
      <c r="H32" s="18"/>
    </row>
    <row r="33" ht="15.75" customHeight="1">
      <c r="A33" s="19" t="s">
        <v>95</v>
      </c>
      <c r="B33" s="19">
        <v>0.0</v>
      </c>
      <c r="C33" s="19">
        <v>1256.0</v>
      </c>
      <c r="D33" s="19" t="s">
        <v>72</v>
      </c>
      <c r="E33" s="20"/>
      <c r="F33" s="20"/>
      <c r="G33" s="20"/>
      <c r="H33" s="18"/>
    </row>
    <row r="34" ht="15.75" customHeight="1">
      <c r="A34" s="19" t="s">
        <v>96</v>
      </c>
      <c r="B34" s="19"/>
      <c r="C34" s="19">
        <v>4000.0</v>
      </c>
      <c r="D34" s="19" t="s">
        <v>72</v>
      </c>
      <c r="E34" s="20"/>
      <c r="F34" s="20"/>
      <c r="G34" s="20"/>
      <c r="H34" s="18"/>
    </row>
    <row r="35" ht="15.75" customHeight="1">
      <c r="A35" s="19" t="s">
        <v>97</v>
      </c>
      <c r="B35" s="19"/>
      <c r="C35" s="19">
        <v>2174.0</v>
      </c>
      <c r="D35" s="19" t="s">
        <v>72</v>
      </c>
      <c r="E35" s="20"/>
      <c r="F35" s="20"/>
      <c r="G35" s="19">
        <v>2174.0</v>
      </c>
      <c r="H35" s="18"/>
      <c r="I35" s="2">
        <v>17000.0</v>
      </c>
    </row>
    <row r="36" ht="15.75" customHeight="1">
      <c r="A36" s="19" t="s">
        <v>98</v>
      </c>
      <c r="B36" s="19"/>
      <c r="C36" s="19">
        <v>3000.0</v>
      </c>
      <c r="D36" s="19" t="s">
        <v>72</v>
      </c>
      <c r="E36" s="20"/>
      <c r="F36" s="20"/>
      <c r="G36" s="19">
        <v>3000.0</v>
      </c>
      <c r="H36" s="18"/>
      <c r="I36" s="2">
        <v>2000.0</v>
      </c>
    </row>
    <row r="37" ht="15.75" customHeight="1">
      <c r="A37" s="19" t="s">
        <v>99</v>
      </c>
      <c r="B37" s="19"/>
      <c r="C37" s="19">
        <v>1700.0</v>
      </c>
      <c r="D37" s="19" t="s">
        <v>72</v>
      </c>
      <c r="E37" s="20"/>
      <c r="F37" s="20"/>
      <c r="G37" s="19">
        <v>1256.0</v>
      </c>
      <c r="H37" s="18"/>
      <c r="I37" s="2">
        <v>1000.0</v>
      </c>
    </row>
    <row r="38" ht="15.75" customHeight="1">
      <c r="A38" s="19" t="s">
        <v>100</v>
      </c>
      <c r="B38" s="19"/>
      <c r="C38" s="19">
        <v>3000.0</v>
      </c>
      <c r="D38" s="19" t="s">
        <v>72</v>
      </c>
      <c r="E38" s="20"/>
      <c r="F38" s="20"/>
      <c r="G38" s="19">
        <v>5315.0</v>
      </c>
      <c r="H38" s="18"/>
    </row>
    <row r="39" ht="15.75" customHeight="1">
      <c r="A39" s="21"/>
      <c r="B39" s="21"/>
      <c r="C39" s="21"/>
      <c r="D39" s="21"/>
      <c r="E39" s="18"/>
      <c r="F39" s="18"/>
      <c r="G39" s="19">
        <v>4661.0</v>
      </c>
      <c r="H39" s="18"/>
    </row>
    <row r="40" ht="15.75" customHeight="1">
      <c r="A40" s="21"/>
      <c r="B40" s="21"/>
      <c r="C40" s="21"/>
      <c r="D40" s="21"/>
      <c r="E40" s="18"/>
      <c r="F40" s="18"/>
      <c r="G40" s="18"/>
      <c r="H40" s="18"/>
    </row>
    <row r="41" ht="15.75" customHeight="1">
      <c r="A41" s="21" t="s">
        <v>101</v>
      </c>
      <c r="B41" s="21"/>
      <c r="C41" s="21"/>
      <c r="D41" s="21"/>
      <c r="E41" s="18"/>
      <c r="F41" s="18"/>
      <c r="G41" s="18"/>
      <c r="H41" s="18"/>
    </row>
    <row r="42" ht="15.75" customHeight="1">
      <c r="A42" s="21" t="s">
        <v>102</v>
      </c>
      <c r="B42" s="21">
        <f t="shared" ref="B42:C42" si="1">SUM(B3:B40)</f>
        <v>96555</v>
      </c>
      <c r="C42" s="21">
        <f t="shared" si="1"/>
        <v>128856</v>
      </c>
      <c r="D42" s="21"/>
      <c r="E42" s="18"/>
      <c r="F42" s="18"/>
      <c r="G42" s="18"/>
      <c r="H42" s="18"/>
    </row>
    <row r="43" ht="15.75" customHeight="1">
      <c r="A43" s="21"/>
      <c r="B43" s="21"/>
      <c r="C43" s="21"/>
      <c r="D43" s="21"/>
      <c r="E43" s="18"/>
      <c r="F43" s="18"/>
      <c r="G43" s="18"/>
      <c r="H43" s="18"/>
      <c r="K43" s="2">
        <v>42000.0</v>
      </c>
    </row>
    <row r="44" ht="15.75" customHeight="1">
      <c r="A44" s="21" t="s">
        <v>67</v>
      </c>
      <c r="B44" s="21"/>
      <c r="C44" s="21"/>
      <c r="D44" s="22">
        <v>146709.0</v>
      </c>
      <c r="E44" s="18"/>
      <c r="F44" s="18"/>
      <c r="G44" s="18"/>
      <c r="H44" s="18"/>
    </row>
    <row r="45" ht="15.75" customHeight="1">
      <c r="A45" s="21"/>
      <c r="B45" s="21"/>
      <c r="C45" s="21"/>
      <c r="D45" s="21"/>
      <c r="E45" s="18"/>
      <c r="F45" s="18"/>
      <c r="G45" s="18"/>
      <c r="H45" s="18"/>
    </row>
    <row r="46" ht="15.75" customHeight="1">
      <c r="A46" s="21" t="s">
        <v>68</v>
      </c>
      <c r="B46" s="22">
        <f>D44-B42</f>
        <v>50154</v>
      </c>
      <c r="C46" s="21"/>
      <c r="D46" s="22">
        <f>D44-C42</f>
        <v>17853</v>
      </c>
      <c r="E46" s="18">
        <v>58831.0</v>
      </c>
      <c r="F46" s="18"/>
      <c r="G46" s="18"/>
      <c r="H46" s="18"/>
    </row>
    <row r="47" ht="15.75" customHeight="1">
      <c r="A47" s="18"/>
      <c r="B47" s="18"/>
      <c r="C47" s="18"/>
      <c r="D47" s="18"/>
      <c r="E47" s="18"/>
      <c r="F47" s="23">
        <f>D46-E46</f>
        <v>-40978</v>
      </c>
      <c r="G47" s="18"/>
      <c r="H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D$39"/>
  <mergeCells count="1">
    <mergeCell ref="A1:G1"/>
  </mergeCells>
  <conditionalFormatting sqref="D3:D39">
    <cfRule type="containsText" dxfId="0" priority="1" operator="containsText" text="TBD">
      <formula>NOT(ISERROR(SEARCH(("TBD"),(D3))))</formula>
    </cfRule>
  </conditionalFormatting>
  <conditionalFormatting sqref="D3:D39">
    <cfRule type="cellIs" dxfId="1" priority="2" operator="equal">
      <formula>"Completed"</formula>
    </cfRule>
  </conditionalFormatting>
  <dataValidations>
    <dataValidation type="list" allowBlank="1" showErrorMessage="1" sqref="J4">
      <formula1>$J$3:$J$4</formula1>
    </dataValidation>
    <dataValidation type="list" allowBlank="1" showErrorMessage="1" sqref="J3 D3:D39">
      <formula1>$J$3:$J$5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29.0"/>
    <col customWidth="1" min="3" max="3" width="24.44"/>
    <col customWidth="1" min="4" max="4" width="22.0"/>
    <col customWidth="1" min="5" max="5" width="9.0"/>
    <col customWidth="1" min="6" max="6" width="16.0"/>
    <col customWidth="1" min="7" max="7" width="11.44"/>
    <col customWidth="1" min="8" max="9" width="10.56"/>
    <col customWidth="1" min="10" max="10" width="10.11"/>
    <col customWidth="1" min="11" max="11" width="6.11"/>
    <col customWidth="1" min="12" max="12" width="7.11"/>
    <col customWidth="1" min="13" max="13" width="9.33"/>
    <col customWidth="1" min="14" max="14" width="7.11"/>
    <col customWidth="1" min="15" max="26" width="10.56"/>
  </cols>
  <sheetData>
    <row r="1" ht="39.0" customHeight="1">
      <c r="A1" s="17" t="s">
        <v>69</v>
      </c>
      <c r="B1" s="9"/>
      <c r="C1" s="9"/>
      <c r="D1" s="9"/>
      <c r="E1" s="9"/>
      <c r="F1" s="9"/>
      <c r="G1" s="10"/>
      <c r="H1" s="18"/>
    </row>
    <row r="2" ht="15.75" customHeight="1">
      <c r="A2" s="19" t="s">
        <v>32</v>
      </c>
      <c r="B2" s="19" t="s">
        <v>70</v>
      </c>
      <c r="C2" s="19" t="s">
        <v>71</v>
      </c>
      <c r="D2" s="19" t="s">
        <v>34</v>
      </c>
      <c r="E2" s="24" t="s">
        <v>2</v>
      </c>
      <c r="F2" s="19" t="s">
        <v>35</v>
      </c>
      <c r="G2" s="19"/>
      <c r="H2" s="18"/>
    </row>
    <row r="3" ht="15.75" customHeight="1">
      <c r="A3" s="19" t="s">
        <v>36</v>
      </c>
      <c r="B3" s="19">
        <v>15500.0</v>
      </c>
      <c r="C3" s="25">
        <v>15500.0</v>
      </c>
      <c r="D3" s="25" t="s">
        <v>72</v>
      </c>
      <c r="E3" s="20">
        <f t="shared" ref="E3:E39" si="1">C3-B3</f>
        <v>0</v>
      </c>
      <c r="F3" s="19" t="s">
        <v>37</v>
      </c>
      <c r="G3" s="19">
        <f>SUMIF(A:A, "*RD*", C:C)</f>
        <v>17000</v>
      </c>
      <c r="H3" s="18"/>
      <c r="J3" s="2" t="s">
        <v>72</v>
      </c>
    </row>
    <row r="4" ht="15.75" customHeight="1">
      <c r="A4" s="19" t="s">
        <v>38</v>
      </c>
      <c r="B4" s="19">
        <v>2000.0</v>
      </c>
      <c r="C4" s="25">
        <v>2000.0</v>
      </c>
      <c r="D4" s="25" t="s">
        <v>72</v>
      </c>
      <c r="E4" s="20">
        <f t="shared" si="1"/>
        <v>0</v>
      </c>
      <c r="F4" s="19" t="s">
        <v>39</v>
      </c>
      <c r="G4" s="19">
        <f>SUMIF(A:A, "*MF*", C:C)</f>
        <v>12000</v>
      </c>
      <c r="H4" s="18"/>
      <c r="J4" s="2" t="s">
        <v>73</v>
      </c>
    </row>
    <row r="5" ht="15.75" customHeight="1">
      <c r="A5" s="19" t="s">
        <v>40</v>
      </c>
      <c r="B5" s="19">
        <v>16392.0</v>
      </c>
      <c r="C5" s="25">
        <v>16392.0</v>
      </c>
      <c r="D5" s="25" t="s">
        <v>72</v>
      </c>
      <c r="E5" s="20">
        <f t="shared" si="1"/>
        <v>0</v>
      </c>
      <c r="F5" s="19" t="s">
        <v>41</v>
      </c>
      <c r="G5" s="19">
        <v>0.0</v>
      </c>
      <c r="H5" s="18"/>
      <c r="J5" s="2" t="s">
        <v>62</v>
      </c>
    </row>
    <row r="6" ht="15.75" customHeight="1">
      <c r="A6" s="19" t="s">
        <v>42</v>
      </c>
      <c r="B6" s="19">
        <v>3000.0</v>
      </c>
      <c r="C6" s="19">
        <v>3000.0</v>
      </c>
      <c r="D6" s="19" t="s">
        <v>72</v>
      </c>
      <c r="E6" s="20">
        <f t="shared" si="1"/>
        <v>0</v>
      </c>
      <c r="F6" s="19"/>
      <c r="G6" s="19"/>
      <c r="H6" s="18"/>
    </row>
    <row r="7" ht="15.75" customHeight="1">
      <c r="A7" s="19" t="s">
        <v>43</v>
      </c>
      <c r="B7" s="19">
        <v>945.0</v>
      </c>
      <c r="C7" s="19">
        <v>0.0</v>
      </c>
      <c r="D7" s="25" t="s">
        <v>72</v>
      </c>
      <c r="E7" s="20">
        <f t="shared" si="1"/>
        <v>-945</v>
      </c>
      <c r="F7" s="19" t="s">
        <v>44</v>
      </c>
      <c r="G7" s="19">
        <f>SUM(G3:G5)</f>
        <v>29000</v>
      </c>
      <c r="H7" s="18"/>
    </row>
    <row r="8" ht="15.75" customHeight="1">
      <c r="A8" s="19" t="s">
        <v>45</v>
      </c>
      <c r="B8" s="19">
        <v>5000.0</v>
      </c>
      <c r="C8" s="25">
        <v>5000.0</v>
      </c>
      <c r="D8" s="25" t="s">
        <v>72</v>
      </c>
      <c r="E8" s="20">
        <f t="shared" si="1"/>
        <v>0</v>
      </c>
      <c r="F8" s="20"/>
      <c r="G8" s="20"/>
      <c r="H8" s="18"/>
    </row>
    <row r="9" ht="15.75" customHeight="1">
      <c r="A9" s="19" t="s">
        <v>46</v>
      </c>
      <c r="B9" s="19">
        <v>5000.0</v>
      </c>
      <c r="C9" s="25">
        <v>5000.0</v>
      </c>
      <c r="D9" s="25" t="s">
        <v>72</v>
      </c>
      <c r="E9" s="20">
        <f t="shared" si="1"/>
        <v>0</v>
      </c>
      <c r="F9" s="20"/>
      <c r="G9" s="20"/>
      <c r="H9" s="18"/>
    </row>
    <row r="10" ht="15.75" customHeight="1">
      <c r="A10" s="19" t="s">
        <v>47</v>
      </c>
      <c r="B10" s="19">
        <v>2433.0</v>
      </c>
      <c r="C10" s="25">
        <v>2433.0</v>
      </c>
      <c r="D10" s="25" t="s">
        <v>72</v>
      </c>
      <c r="E10" s="20">
        <f t="shared" si="1"/>
        <v>0</v>
      </c>
      <c r="F10" s="19" t="s">
        <v>48</v>
      </c>
      <c r="G10" s="19">
        <v>25204.0</v>
      </c>
      <c r="H10" s="18"/>
    </row>
    <row r="11" ht="15.75" customHeight="1">
      <c r="A11" s="19" t="s">
        <v>49</v>
      </c>
      <c r="B11" s="19">
        <v>5267.0</v>
      </c>
      <c r="C11" s="19">
        <v>11518.0</v>
      </c>
      <c r="D11" s="19" t="s">
        <v>72</v>
      </c>
      <c r="E11" s="20">
        <f t="shared" si="1"/>
        <v>6251</v>
      </c>
      <c r="F11" s="19" t="s">
        <v>50</v>
      </c>
      <c r="G11" s="19">
        <v>12500.0</v>
      </c>
      <c r="H11" s="18"/>
    </row>
    <row r="12" ht="15.75" customHeight="1">
      <c r="A12" s="19" t="s">
        <v>51</v>
      </c>
      <c r="B12" s="19">
        <v>5718.0</v>
      </c>
      <c r="C12" s="25">
        <v>6845.0</v>
      </c>
      <c r="D12" s="25" t="s">
        <v>72</v>
      </c>
      <c r="E12" s="20">
        <f t="shared" si="1"/>
        <v>1127</v>
      </c>
      <c r="F12" s="19"/>
      <c r="G12" s="19"/>
      <c r="H12" s="18"/>
    </row>
    <row r="13" ht="15.75" customHeight="1">
      <c r="A13" s="19" t="s">
        <v>52</v>
      </c>
      <c r="B13" s="19">
        <v>3000.0</v>
      </c>
      <c r="C13" s="25">
        <v>3000.0</v>
      </c>
      <c r="D13" s="25" t="s">
        <v>72</v>
      </c>
      <c r="E13" s="20">
        <f t="shared" si="1"/>
        <v>0</v>
      </c>
      <c r="F13" s="19" t="s">
        <v>44</v>
      </c>
      <c r="G13" s="19">
        <f>SUM(G10:G11)</f>
        <v>37704</v>
      </c>
      <c r="H13" s="18"/>
      <c r="M13" s="2" t="s">
        <v>103</v>
      </c>
      <c r="N13" s="2">
        <v>70000.0</v>
      </c>
    </row>
    <row r="14" ht="15.75" customHeight="1">
      <c r="A14" s="19" t="s">
        <v>53</v>
      </c>
      <c r="B14" s="19">
        <v>5000.0</v>
      </c>
      <c r="C14" s="25">
        <v>5000.0</v>
      </c>
      <c r="D14" s="25" t="s">
        <v>72</v>
      </c>
      <c r="E14" s="20">
        <f t="shared" si="1"/>
        <v>0</v>
      </c>
      <c r="F14" s="20"/>
      <c r="G14" s="20"/>
      <c r="H14" s="18"/>
      <c r="M14" s="2" t="s">
        <v>37</v>
      </c>
      <c r="N14" s="7">
        <v>112000.0</v>
      </c>
    </row>
    <row r="15" ht="15.75" customHeight="1">
      <c r="A15" s="19" t="s">
        <v>54</v>
      </c>
      <c r="B15" s="19">
        <v>9000.0</v>
      </c>
      <c r="C15" s="25">
        <v>8000.0</v>
      </c>
      <c r="D15" s="25" t="s">
        <v>72</v>
      </c>
      <c r="E15" s="20">
        <f t="shared" si="1"/>
        <v>-1000</v>
      </c>
      <c r="F15" s="20"/>
      <c r="G15" s="20"/>
      <c r="H15" s="18"/>
      <c r="M15" s="2" t="s">
        <v>104</v>
      </c>
      <c r="N15" s="2">
        <v>200000.0</v>
      </c>
    </row>
    <row r="16" ht="15.75" customHeight="1">
      <c r="A16" s="19" t="s">
        <v>55</v>
      </c>
      <c r="B16" s="19">
        <v>5000.0</v>
      </c>
      <c r="C16" s="25">
        <v>5000.0</v>
      </c>
      <c r="D16" s="25" t="s">
        <v>72</v>
      </c>
      <c r="E16" s="20">
        <f t="shared" si="1"/>
        <v>0</v>
      </c>
      <c r="F16" s="20"/>
      <c r="G16" s="20"/>
      <c r="H16" s="18"/>
      <c r="M16" s="2" t="s">
        <v>91</v>
      </c>
      <c r="N16" s="7">
        <v>97527.0</v>
      </c>
    </row>
    <row r="17" ht="15.75" customHeight="1">
      <c r="A17" s="19" t="s">
        <v>56</v>
      </c>
      <c r="B17" s="19">
        <v>1500.0</v>
      </c>
      <c r="C17" s="25">
        <v>1670.0</v>
      </c>
      <c r="D17" s="25" t="s">
        <v>72</v>
      </c>
      <c r="E17" s="20">
        <f t="shared" si="1"/>
        <v>170</v>
      </c>
      <c r="F17" s="19" t="s">
        <v>20</v>
      </c>
      <c r="G17" s="19">
        <f>SUMIF(F:F, "*Sub Total*", G:G)</f>
        <v>66704</v>
      </c>
      <c r="H17" s="18"/>
      <c r="N17" s="2">
        <v>0.0</v>
      </c>
    </row>
    <row r="18" ht="15.75" customHeight="1">
      <c r="A18" s="19" t="s">
        <v>57</v>
      </c>
      <c r="B18" s="19">
        <v>360.0</v>
      </c>
      <c r="C18" s="19">
        <v>0.0</v>
      </c>
      <c r="D18" s="25" t="s">
        <v>72</v>
      </c>
      <c r="E18" s="20">
        <f t="shared" si="1"/>
        <v>-360</v>
      </c>
      <c r="F18" s="20"/>
      <c r="G18" s="20"/>
      <c r="H18" s="18"/>
      <c r="N18" s="2">
        <v>0.0</v>
      </c>
    </row>
    <row r="19" ht="15.75" customHeight="1">
      <c r="A19" s="19" t="s">
        <v>58</v>
      </c>
      <c r="B19" s="19">
        <v>2000.0</v>
      </c>
      <c r="C19" s="19">
        <v>2000.0</v>
      </c>
      <c r="D19" s="19" t="s">
        <v>72</v>
      </c>
      <c r="E19" s="20">
        <f t="shared" si="1"/>
        <v>0</v>
      </c>
      <c r="F19" s="20"/>
      <c r="G19" s="20"/>
      <c r="H19" s="18"/>
      <c r="N19" s="2">
        <v>0.0</v>
      </c>
    </row>
    <row r="20" ht="15.75" customHeight="1">
      <c r="A20" s="19" t="s">
        <v>59</v>
      </c>
      <c r="B20" s="19">
        <v>2000.0</v>
      </c>
      <c r="C20" s="19">
        <v>2000.0</v>
      </c>
      <c r="D20" s="19" t="s">
        <v>72</v>
      </c>
      <c r="E20" s="20">
        <f t="shared" si="1"/>
        <v>0</v>
      </c>
      <c r="F20" s="20"/>
      <c r="G20" s="20"/>
      <c r="H20" s="18"/>
      <c r="M20" s="2" t="s">
        <v>105</v>
      </c>
      <c r="N20" s="2">
        <f>SUM(N13:N19)</f>
        <v>479527</v>
      </c>
    </row>
    <row r="21" ht="15.75" customHeight="1">
      <c r="A21" s="19" t="s">
        <v>106</v>
      </c>
      <c r="B21" s="19">
        <v>5000.0</v>
      </c>
      <c r="C21" s="25">
        <v>5000.0</v>
      </c>
      <c r="D21" s="25" t="s">
        <v>72</v>
      </c>
      <c r="E21" s="20">
        <f t="shared" si="1"/>
        <v>0</v>
      </c>
      <c r="F21" s="20"/>
      <c r="G21" s="20"/>
      <c r="H21" s="18"/>
    </row>
    <row r="22" ht="15.75" customHeight="1">
      <c r="A22" s="19" t="s">
        <v>107</v>
      </c>
      <c r="B22" s="19">
        <v>5000.0</v>
      </c>
      <c r="C22" s="19">
        <v>0.0</v>
      </c>
      <c r="D22" s="25" t="s">
        <v>72</v>
      </c>
      <c r="E22" s="20">
        <f t="shared" si="1"/>
        <v>-5000</v>
      </c>
      <c r="F22" s="20"/>
      <c r="G22" s="20"/>
      <c r="H22" s="18"/>
    </row>
    <row r="23" ht="15.75" customHeight="1">
      <c r="A23" s="19" t="s">
        <v>108</v>
      </c>
      <c r="B23" s="19">
        <v>0.0</v>
      </c>
      <c r="C23" s="19">
        <v>0.0</v>
      </c>
      <c r="D23" s="26" t="s">
        <v>62</v>
      </c>
      <c r="E23" s="20">
        <f t="shared" si="1"/>
        <v>0</v>
      </c>
      <c r="F23" s="20"/>
      <c r="G23" s="20"/>
      <c r="H23" s="18"/>
    </row>
    <row r="24" ht="15.75" customHeight="1">
      <c r="A24" s="19" t="s">
        <v>109</v>
      </c>
      <c r="B24" s="19">
        <v>0.0</v>
      </c>
      <c r="C24" s="19">
        <v>0.0</v>
      </c>
      <c r="D24" s="26" t="s">
        <v>62</v>
      </c>
      <c r="E24" s="20">
        <f t="shared" si="1"/>
        <v>0</v>
      </c>
      <c r="F24" s="20"/>
      <c r="G24" s="20"/>
      <c r="H24" s="18"/>
    </row>
    <row r="25" ht="15.75" customHeight="1">
      <c r="A25" s="19" t="s">
        <v>87</v>
      </c>
      <c r="B25" s="19">
        <v>4661.0</v>
      </c>
      <c r="C25" s="25">
        <v>3481.0</v>
      </c>
      <c r="D25" s="25" t="s">
        <v>72</v>
      </c>
      <c r="E25" s="20">
        <f t="shared" si="1"/>
        <v>-1180</v>
      </c>
      <c r="F25" s="20"/>
      <c r="G25" s="20"/>
      <c r="H25" s="18"/>
    </row>
    <row r="26" ht="15.75" customHeight="1">
      <c r="A26" s="19" t="s">
        <v>88</v>
      </c>
      <c r="B26" s="19">
        <v>4000.0</v>
      </c>
      <c r="C26" s="19">
        <v>4000.0</v>
      </c>
      <c r="D26" s="19" t="s">
        <v>72</v>
      </c>
      <c r="E26" s="20">
        <f t="shared" si="1"/>
        <v>0</v>
      </c>
      <c r="F26" s="20"/>
      <c r="G26" s="20"/>
      <c r="H26" s="18"/>
    </row>
    <row r="27" ht="15.75" customHeight="1">
      <c r="A27" s="19" t="s">
        <v>89</v>
      </c>
      <c r="B27" s="25">
        <v>5315.0</v>
      </c>
      <c r="C27" s="25">
        <v>3000.0</v>
      </c>
      <c r="D27" s="25" t="s">
        <v>72</v>
      </c>
      <c r="E27" s="20">
        <f t="shared" si="1"/>
        <v>-2315</v>
      </c>
      <c r="F27" s="20"/>
      <c r="G27" s="20"/>
      <c r="H27" s="18"/>
    </row>
    <row r="28" ht="15.75" customHeight="1">
      <c r="A28" s="19" t="s">
        <v>90</v>
      </c>
      <c r="B28" s="25">
        <v>1000.0</v>
      </c>
      <c r="C28" s="19">
        <v>0.0</v>
      </c>
      <c r="D28" s="26" t="s">
        <v>72</v>
      </c>
      <c r="E28" s="20">
        <f t="shared" si="1"/>
        <v>-1000</v>
      </c>
      <c r="F28" s="20"/>
      <c r="G28" s="20"/>
      <c r="H28" s="18"/>
    </row>
    <row r="29" ht="15.75" customHeight="1">
      <c r="A29" s="19" t="s">
        <v>91</v>
      </c>
      <c r="B29" s="25">
        <v>2100.0</v>
      </c>
      <c r="C29" s="25">
        <v>2100.0</v>
      </c>
      <c r="D29" s="25" t="s">
        <v>72</v>
      </c>
      <c r="E29" s="20">
        <f t="shared" si="1"/>
        <v>0</v>
      </c>
      <c r="F29" s="20"/>
      <c r="G29" s="20"/>
      <c r="H29" s="18"/>
    </row>
    <row r="30" ht="15.75" customHeight="1">
      <c r="A30" s="19" t="s">
        <v>92</v>
      </c>
      <c r="B30" s="19">
        <v>0.0</v>
      </c>
      <c r="C30" s="25">
        <v>3000.0</v>
      </c>
      <c r="D30" s="25" t="s">
        <v>72</v>
      </c>
      <c r="E30" s="20">
        <f t="shared" si="1"/>
        <v>3000</v>
      </c>
      <c r="F30" s="20"/>
      <c r="G30" s="20"/>
      <c r="H30" s="18"/>
    </row>
    <row r="31" ht="15.75" customHeight="1">
      <c r="A31" s="19" t="s">
        <v>93</v>
      </c>
      <c r="B31" s="19">
        <v>6000.0</v>
      </c>
      <c r="C31" s="19">
        <v>6000.0</v>
      </c>
      <c r="D31" s="19" t="s">
        <v>72</v>
      </c>
      <c r="E31" s="20">
        <f t="shared" si="1"/>
        <v>0</v>
      </c>
      <c r="F31" s="20"/>
      <c r="G31" s="20"/>
      <c r="H31" s="18"/>
    </row>
    <row r="32" ht="15.75" customHeight="1">
      <c r="A32" s="19" t="s">
        <v>94</v>
      </c>
      <c r="B32" s="19">
        <v>0.0</v>
      </c>
      <c r="C32" s="19">
        <v>0.0</v>
      </c>
      <c r="D32" s="26" t="s">
        <v>72</v>
      </c>
      <c r="E32" s="20">
        <f t="shared" si="1"/>
        <v>0</v>
      </c>
      <c r="F32" s="20"/>
      <c r="G32" s="20"/>
      <c r="H32" s="18"/>
    </row>
    <row r="33" ht="15.75" customHeight="1">
      <c r="A33" s="19" t="s">
        <v>110</v>
      </c>
      <c r="B33" s="19">
        <v>0.0</v>
      </c>
      <c r="C33" s="19">
        <v>70000.0</v>
      </c>
      <c r="D33" s="19" t="s">
        <v>72</v>
      </c>
      <c r="E33" s="20">
        <f t="shared" si="1"/>
        <v>70000</v>
      </c>
      <c r="F33" s="20"/>
      <c r="G33" s="20"/>
      <c r="H33" s="18"/>
    </row>
    <row r="34" ht="15.75" customHeight="1">
      <c r="A34" s="19" t="s">
        <v>96</v>
      </c>
      <c r="B34" s="19">
        <v>0.0</v>
      </c>
      <c r="C34" s="25">
        <v>3000.0</v>
      </c>
      <c r="D34" s="26" t="s">
        <v>72</v>
      </c>
      <c r="E34" s="20">
        <f t="shared" si="1"/>
        <v>3000</v>
      </c>
      <c r="F34" s="20"/>
      <c r="G34" s="20"/>
      <c r="H34" s="18"/>
    </row>
    <row r="35" ht="15.75" customHeight="1">
      <c r="A35" s="19" t="s">
        <v>97</v>
      </c>
      <c r="B35" s="25">
        <v>2174.0</v>
      </c>
      <c r="C35" s="19">
        <v>0.0</v>
      </c>
      <c r="D35" s="25" t="s">
        <v>72</v>
      </c>
      <c r="E35" s="20">
        <f t="shared" si="1"/>
        <v>-2174</v>
      </c>
      <c r="F35" s="20"/>
      <c r="G35" s="19">
        <v>2174.0</v>
      </c>
      <c r="H35" s="18"/>
      <c r="I35" s="2">
        <v>17000.0</v>
      </c>
    </row>
    <row r="36" ht="15.75" customHeight="1">
      <c r="A36" s="19" t="s">
        <v>98</v>
      </c>
      <c r="B36" s="25">
        <v>3000.0</v>
      </c>
      <c r="C36" s="25">
        <v>1500.0</v>
      </c>
      <c r="D36" s="25" t="s">
        <v>72</v>
      </c>
      <c r="E36" s="20">
        <f t="shared" si="1"/>
        <v>-1500</v>
      </c>
      <c r="F36" s="20"/>
      <c r="G36" s="19">
        <v>3000.0</v>
      </c>
      <c r="H36" s="18"/>
      <c r="I36" s="2">
        <v>2000.0</v>
      </c>
    </row>
    <row r="37" ht="15.75" customHeight="1">
      <c r="A37" s="19" t="s">
        <v>99</v>
      </c>
      <c r="B37" s="25">
        <v>1700.0</v>
      </c>
      <c r="C37" s="19">
        <v>0.0</v>
      </c>
      <c r="D37" s="25" t="s">
        <v>72</v>
      </c>
      <c r="E37" s="20">
        <f t="shared" si="1"/>
        <v>-1700</v>
      </c>
      <c r="F37" s="20"/>
      <c r="G37" s="19">
        <v>1256.0</v>
      </c>
      <c r="H37" s="18"/>
      <c r="I37" s="2">
        <v>1000.0</v>
      </c>
    </row>
    <row r="38" ht="15.75" customHeight="1">
      <c r="A38" s="19" t="s">
        <v>100</v>
      </c>
      <c r="B38" s="19">
        <v>0.0</v>
      </c>
      <c r="C38" s="26">
        <v>2000.0</v>
      </c>
      <c r="D38" s="26" t="s">
        <v>72</v>
      </c>
      <c r="E38" s="20">
        <f t="shared" si="1"/>
        <v>2000</v>
      </c>
      <c r="F38" s="20"/>
      <c r="G38" s="19">
        <v>5315.0</v>
      </c>
      <c r="H38" s="18"/>
    </row>
    <row r="39" ht="15.75" customHeight="1">
      <c r="A39" s="21" t="s">
        <v>111</v>
      </c>
      <c r="B39" s="19">
        <v>0.0</v>
      </c>
      <c r="C39" s="27">
        <v>15000.0</v>
      </c>
      <c r="D39" s="19" t="s">
        <v>72</v>
      </c>
      <c r="E39" s="20">
        <f t="shared" si="1"/>
        <v>15000</v>
      </c>
      <c r="F39" s="18"/>
      <c r="G39" s="19">
        <v>4661.0</v>
      </c>
      <c r="H39" s="18"/>
    </row>
    <row r="40" ht="15.75" customHeight="1">
      <c r="A40" s="21"/>
      <c r="B40" s="21"/>
      <c r="C40" s="21"/>
      <c r="D40" s="21"/>
      <c r="E40" s="18"/>
      <c r="F40" s="18"/>
      <c r="G40" s="18"/>
      <c r="H40" s="18"/>
    </row>
    <row r="41" ht="15.75" customHeight="1">
      <c r="A41" s="21" t="s">
        <v>101</v>
      </c>
      <c r="B41" s="21"/>
      <c r="C41" s="21"/>
      <c r="D41" s="21"/>
      <c r="E41" s="18"/>
      <c r="F41" s="18"/>
      <c r="G41" s="18"/>
      <c r="H41" s="18"/>
    </row>
    <row r="42" ht="15.75" customHeight="1">
      <c r="A42" s="21" t="s">
        <v>102</v>
      </c>
      <c r="B42" s="21">
        <f t="shared" ref="B42:C42" si="2">SUM(B3:B40)</f>
        <v>129065</v>
      </c>
      <c r="C42" s="21">
        <f t="shared" si="2"/>
        <v>212439</v>
      </c>
      <c r="D42" s="21"/>
      <c r="E42" s="18"/>
      <c r="F42" s="18"/>
      <c r="G42" s="18"/>
      <c r="H42" s="18"/>
    </row>
    <row r="43" ht="15.75" customHeight="1">
      <c r="A43" s="21"/>
      <c r="B43" s="21"/>
      <c r="C43" s="21"/>
      <c r="D43" s="21"/>
      <c r="E43" s="18"/>
      <c r="F43" s="18"/>
      <c r="G43" s="18"/>
      <c r="H43" s="18"/>
      <c r="K43" s="2">
        <v>42000.0</v>
      </c>
    </row>
    <row r="44" ht="15.75" customHeight="1">
      <c r="A44" s="21" t="s">
        <v>67</v>
      </c>
      <c r="B44" s="21"/>
      <c r="C44" s="21"/>
      <c r="D44" s="22">
        <v>218826.0</v>
      </c>
      <c r="E44" s="18"/>
      <c r="F44" s="18"/>
      <c r="G44" s="18"/>
      <c r="H44" s="18"/>
    </row>
    <row r="45" ht="15.75" customHeight="1">
      <c r="A45" s="21"/>
      <c r="B45" s="21"/>
      <c r="C45" s="21"/>
      <c r="D45" s="21"/>
      <c r="E45" s="18"/>
      <c r="F45" s="18"/>
      <c r="G45" s="18"/>
      <c r="H45" s="18"/>
    </row>
    <row r="46" ht="15.75" customHeight="1">
      <c r="A46" s="21" t="s">
        <v>68</v>
      </c>
      <c r="B46" s="22">
        <f>D44-B42</f>
        <v>89761</v>
      </c>
      <c r="C46" s="22">
        <f>D44-C42</f>
        <v>6387</v>
      </c>
      <c r="D46" s="22"/>
      <c r="E46" s="18">
        <v>58831.0</v>
      </c>
      <c r="F46" s="18"/>
      <c r="G46" s="18"/>
      <c r="H46" s="18"/>
    </row>
    <row r="47" ht="15.75" customHeight="1">
      <c r="A47" s="18"/>
      <c r="B47" s="18"/>
      <c r="C47" s="18"/>
      <c r="D47" s="18"/>
      <c r="E47" s="18"/>
      <c r="F47" s="23">
        <f>D46-E46</f>
        <v>-58831</v>
      </c>
      <c r="G47" s="18"/>
      <c r="H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conditionalFormatting sqref="D3:D39">
    <cfRule type="containsText" dxfId="0" priority="1" operator="containsText" text="TBD">
      <formula>NOT(ISERROR(SEARCH(("TBD"),(D3))))</formula>
    </cfRule>
  </conditionalFormatting>
  <conditionalFormatting sqref="D3:D39">
    <cfRule type="cellIs" dxfId="1" priority="2" operator="equal">
      <formula>"Completed"</formula>
    </cfRule>
  </conditionalFormatting>
  <dataValidations>
    <dataValidation type="list" allowBlank="1" showErrorMessage="1" sqref="J4">
      <formula1>$J$3:$J$4</formula1>
    </dataValidation>
    <dataValidation type="list" allowBlank="1" showErrorMessage="1" sqref="J3 D3:D39">
      <formula1>$J$3:$J$5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29.0"/>
    <col customWidth="1" min="3" max="3" width="24.44"/>
    <col customWidth="1" min="4" max="4" width="22.0"/>
    <col customWidth="1" min="5" max="5" width="9.0"/>
    <col customWidth="1" min="6" max="6" width="16.0"/>
    <col customWidth="1" min="7" max="7" width="11.44"/>
    <col customWidth="1" min="8" max="9" width="10.56"/>
    <col customWidth="1" min="10" max="10" width="10.11"/>
    <col customWidth="1" min="11" max="11" width="6.11"/>
    <col customWidth="1" min="12" max="12" width="7.11"/>
    <col customWidth="1" min="13" max="13" width="9.33"/>
    <col customWidth="1" min="14" max="14" width="7.11"/>
    <col customWidth="1" min="15" max="26" width="10.56"/>
  </cols>
  <sheetData>
    <row r="1" ht="39.0" customHeight="1">
      <c r="A1" s="17" t="s">
        <v>69</v>
      </c>
      <c r="B1" s="9"/>
      <c r="C1" s="9"/>
      <c r="D1" s="9"/>
      <c r="E1" s="9"/>
      <c r="F1" s="9"/>
      <c r="G1" s="10"/>
      <c r="H1" s="18"/>
    </row>
    <row r="2" ht="15.75" customHeight="1">
      <c r="A2" s="19" t="s">
        <v>32</v>
      </c>
      <c r="B2" s="19" t="s">
        <v>70</v>
      </c>
      <c r="C2" s="19" t="s">
        <v>71</v>
      </c>
      <c r="D2" s="19" t="s">
        <v>34</v>
      </c>
      <c r="E2" s="20"/>
      <c r="F2" s="19" t="s">
        <v>35</v>
      </c>
      <c r="G2" s="19"/>
      <c r="H2" s="18"/>
    </row>
    <row r="3" ht="15.75" customHeight="1">
      <c r="A3" s="19" t="s">
        <v>36</v>
      </c>
      <c r="B3" s="19">
        <v>15500.0</v>
      </c>
      <c r="C3" s="26">
        <v>15500.0</v>
      </c>
      <c r="D3" s="26" t="s">
        <v>72</v>
      </c>
      <c r="E3" s="20"/>
      <c r="F3" s="19" t="s">
        <v>37</v>
      </c>
      <c r="G3" s="19">
        <f>SUMIF(A:A, "*RD*", C:C)</f>
        <v>17000</v>
      </c>
      <c r="H3" s="18"/>
      <c r="J3" s="2" t="s">
        <v>72</v>
      </c>
    </row>
    <row r="4" ht="15.75" customHeight="1">
      <c r="A4" s="19" t="s">
        <v>38</v>
      </c>
      <c r="B4" s="19">
        <v>2000.0</v>
      </c>
      <c r="C4" s="26">
        <v>2000.0</v>
      </c>
      <c r="D4" s="26" t="s">
        <v>72</v>
      </c>
      <c r="E4" s="20"/>
      <c r="F4" s="19" t="s">
        <v>39</v>
      </c>
      <c r="G4" s="19">
        <f>SUMIF(A:A, "*MF*", C:C)</f>
        <v>17000</v>
      </c>
      <c r="H4" s="18"/>
      <c r="J4" s="2" t="s">
        <v>73</v>
      </c>
    </row>
    <row r="5" ht="15.75" customHeight="1">
      <c r="A5" s="19" t="s">
        <v>40</v>
      </c>
      <c r="B5" s="19">
        <v>16392.0</v>
      </c>
      <c r="C5" s="26">
        <v>16392.0</v>
      </c>
      <c r="D5" s="26" t="s">
        <v>72</v>
      </c>
      <c r="E5" s="20"/>
      <c r="F5" s="19" t="s">
        <v>41</v>
      </c>
      <c r="G5" s="19">
        <v>0.0</v>
      </c>
      <c r="H5" s="18"/>
      <c r="J5" s="2" t="s">
        <v>62</v>
      </c>
    </row>
    <row r="6" ht="15.75" customHeight="1">
      <c r="A6" s="19" t="s">
        <v>42</v>
      </c>
      <c r="B6" s="19">
        <v>3000.0</v>
      </c>
      <c r="C6" s="26">
        <v>4000.0</v>
      </c>
      <c r="D6" s="26" t="s">
        <v>72</v>
      </c>
      <c r="E6" s="20"/>
      <c r="F6" s="19"/>
      <c r="G6" s="19"/>
      <c r="H6" s="18"/>
    </row>
    <row r="7" ht="15.75" customHeight="1">
      <c r="A7" s="19" t="s">
        <v>43</v>
      </c>
      <c r="B7" s="19">
        <v>945.0</v>
      </c>
      <c r="C7" s="26">
        <v>945.0</v>
      </c>
      <c r="D7" s="26" t="s">
        <v>72</v>
      </c>
      <c r="E7" s="20"/>
      <c r="F7" s="19" t="s">
        <v>44</v>
      </c>
      <c r="G7" s="19">
        <f>SUM(G3:G5)</f>
        <v>34000</v>
      </c>
      <c r="H7" s="18"/>
    </row>
    <row r="8" ht="15.75" customHeight="1">
      <c r="A8" s="19" t="s">
        <v>45</v>
      </c>
      <c r="B8" s="19">
        <v>5000.0</v>
      </c>
      <c r="C8" s="26">
        <v>5000.0</v>
      </c>
      <c r="D8" s="26" t="s">
        <v>72</v>
      </c>
      <c r="E8" s="20"/>
      <c r="F8" s="20"/>
      <c r="G8" s="20"/>
      <c r="H8" s="18"/>
    </row>
    <row r="9" ht="15.75" customHeight="1">
      <c r="A9" s="19" t="s">
        <v>46</v>
      </c>
      <c r="B9" s="19">
        <v>5000.0</v>
      </c>
      <c r="C9" s="26">
        <v>5000.0</v>
      </c>
      <c r="D9" s="26" t="s">
        <v>72</v>
      </c>
      <c r="E9" s="20"/>
      <c r="F9" s="20"/>
      <c r="G9" s="20"/>
      <c r="H9" s="18"/>
    </row>
    <row r="10" ht="15.75" customHeight="1">
      <c r="A10" s="19" t="s">
        <v>47</v>
      </c>
      <c r="B10" s="19">
        <v>2433.0</v>
      </c>
      <c r="C10" s="19">
        <v>2433.0</v>
      </c>
      <c r="D10" s="26" t="s">
        <v>72</v>
      </c>
      <c r="E10" s="20"/>
      <c r="F10" s="19" t="s">
        <v>48</v>
      </c>
      <c r="G10" s="19">
        <v>25204.0</v>
      </c>
      <c r="H10" s="18"/>
    </row>
    <row r="11" ht="15.75" customHeight="1">
      <c r="A11" s="19" t="s">
        <v>49</v>
      </c>
      <c r="B11" s="19">
        <v>5267.0</v>
      </c>
      <c r="C11" s="26">
        <v>5243.0</v>
      </c>
      <c r="D11" s="26" t="s">
        <v>72</v>
      </c>
      <c r="E11" s="20"/>
      <c r="F11" s="19" t="s">
        <v>50</v>
      </c>
      <c r="G11" s="19">
        <v>12500.0</v>
      </c>
      <c r="H11" s="18"/>
    </row>
    <row r="12" ht="15.75" customHeight="1">
      <c r="A12" s="19" t="s">
        <v>51</v>
      </c>
      <c r="B12" s="25">
        <v>6845.0</v>
      </c>
      <c r="C12" s="26">
        <v>3251.0</v>
      </c>
      <c r="D12" s="26" t="s">
        <v>72</v>
      </c>
      <c r="E12" s="20"/>
      <c r="F12" s="19"/>
      <c r="G12" s="19"/>
      <c r="H12" s="18"/>
    </row>
    <row r="13" ht="15.75" customHeight="1">
      <c r="A13" s="19" t="s">
        <v>52</v>
      </c>
      <c r="B13" s="19">
        <v>3000.0</v>
      </c>
      <c r="C13" s="26">
        <v>3000.0</v>
      </c>
      <c r="D13" s="26" t="s">
        <v>72</v>
      </c>
      <c r="E13" s="20"/>
      <c r="F13" s="19" t="s">
        <v>44</v>
      </c>
      <c r="G13" s="19">
        <f>SUM(G10:G11)</f>
        <v>37704</v>
      </c>
      <c r="H13" s="18"/>
      <c r="M13" s="2" t="s">
        <v>103</v>
      </c>
      <c r="N13" s="2">
        <v>70000.0</v>
      </c>
    </row>
    <row r="14" ht="15.75" customHeight="1">
      <c r="A14" s="19" t="s">
        <v>53</v>
      </c>
      <c r="B14" s="19">
        <v>5000.0</v>
      </c>
      <c r="C14" s="26">
        <v>5000.0</v>
      </c>
      <c r="D14" s="26" t="s">
        <v>72</v>
      </c>
      <c r="E14" s="20"/>
      <c r="F14" s="20"/>
      <c r="G14" s="20"/>
      <c r="H14" s="18"/>
      <c r="M14" s="2" t="s">
        <v>37</v>
      </c>
      <c r="N14" s="7">
        <v>112000.0</v>
      </c>
    </row>
    <row r="15" ht="15.75" customHeight="1">
      <c r="A15" s="19" t="s">
        <v>54</v>
      </c>
      <c r="B15" s="25">
        <v>8000.0</v>
      </c>
      <c r="C15" s="26">
        <v>9000.0</v>
      </c>
      <c r="D15" s="26" t="s">
        <v>72</v>
      </c>
      <c r="E15" s="20"/>
      <c r="F15" s="20"/>
      <c r="G15" s="20"/>
      <c r="H15" s="18"/>
      <c r="M15" s="2" t="s">
        <v>104</v>
      </c>
      <c r="N15" s="2">
        <v>200000.0</v>
      </c>
    </row>
    <row r="16" ht="15.75" customHeight="1">
      <c r="A16" s="19" t="s">
        <v>55</v>
      </c>
      <c r="B16" s="19">
        <v>5000.0</v>
      </c>
      <c r="C16" s="26">
        <v>5000.0</v>
      </c>
      <c r="D16" s="26" t="s">
        <v>72</v>
      </c>
      <c r="E16" s="20"/>
      <c r="F16" s="20"/>
      <c r="G16" s="20"/>
      <c r="H16" s="18"/>
      <c r="M16" s="2" t="s">
        <v>91</v>
      </c>
      <c r="N16" s="7">
        <v>97527.0</v>
      </c>
    </row>
    <row r="17" ht="15.75" customHeight="1">
      <c r="A17" s="26" t="s">
        <v>56</v>
      </c>
      <c r="B17" s="25">
        <v>1670.0</v>
      </c>
      <c r="C17" s="26">
        <v>1670.0</v>
      </c>
      <c r="D17" s="26" t="s">
        <v>72</v>
      </c>
      <c r="E17" s="20"/>
      <c r="F17" s="19" t="s">
        <v>20</v>
      </c>
      <c r="G17" s="19">
        <f>SUMIF(F:F, "*Sub Total*", G:G)</f>
        <v>71704</v>
      </c>
      <c r="H17" s="18"/>
      <c r="N17" s="2">
        <v>0.0</v>
      </c>
    </row>
    <row r="18" ht="15.75" customHeight="1">
      <c r="A18" s="19" t="s">
        <v>57</v>
      </c>
      <c r="B18" s="19">
        <v>360.0</v>
      </c>
      <c r="C18" s="26">
        <v>0.0</v>
      </c>
      <c r="D18" s="26" t="s">
        <v>72</v>
      </c>
      <c r="E18" s="20"/>
      <c r="F18" s="20"/>
      <c r="G18" s="20"/>
      <c r="H18" s="18"/>
      <c r="N18" s="2">
        <v>0.0</v>
      </c>
    </row>
    <row r="19" ht="15.75" customHeight="1">
      <c r="A19" s="19" t="s">
        <v>58</v>
      </c>
      <c r="B19" s="19">
        <v>2000.0</v>
      </c>
      <c r="C19" s="26">
        <v>2000.0</v>
      </c>
      <c r="D19" s="26" t="s">
        <v>72</v>
      </c>
      <c r="E19" s="20"/>
      <c r="F19" s="20"/>
      <c r="G19" s="20"/>
      <c r="H19" s="18"/>
      <c r="N19" s="2">
        <v>0.0</v>
      </c>
    </row>
    <row r="20" ht="15.75" customHeight="1">
      <c r="A20" s="19" t="s">
        <v>59</v>
      </c>
      <c r="B20" s="19">
        <v>2000.0</v>
      </c>
      <c r="C20" s="26">
        <v>2000.0</v>
      </c>
      <c r="D20" s="26" t="s">
        <v>72</v>
      </c>
      <c r="E20" s="20"/>
      <c r="F20" s="20"/>
      <c r="G20" s="20"/>
      <c r="H20" s="18"/>
      <c r="M20" s="2" t="s">
        <v>105</v>
      </c>
      <c r="N20" s="2">
        <f>SUM(N13:N19)</f>
        <v>479527</v>
      </c>
    </row>
    <row r="21" ht="15.75" customHeight="1">
      <c r="A21" s="19" t="s">
        <v>112</v>
      </c>
      <c r="B21" s="19">
        <v>5000.0</v>
      </c>
      <c r="C21" s="26">
        <v>5000.0</v>
      </c>
      <c r="D21" s="26" t="s">
        <v>72</v>
      </c>
      <c r="E21" s="20"/>
      <c r="F21" s="20"/>
      <c r="G21" s="20"/>
      <c r="H21" s="18"/>
    </row>
    <row r="22" ht="15.75" customHeight="1">
      <c r="A22" s="19" t="s">
        <v>113</v>
      </c>
      <c r="B22" s="19">
        <v>5000.0</v>
      </c>
      <c r="C22" s="26">
        <v>5000.0</v>
      </c>
      <c r="D22" s="26" t="s">
        <v>72</v>
      </c>
      <c r="E22" s="20"/>
      <c r="F22" s="20"/>
      <c r="G22" s="20"/>
      <c r="H22" s="18"/>
    </row>
    <row r="23" ht="15.75" customHeight="1">
      <c r="A23" s="19" t="s">
        <v>114</v>
      </c>
      <c r="B23" s="19">
        <v>0.0</v>
      </c>
      <c r="C23" s="26">
        <v>0.0</v>
      </c>
      <c r="D23" s="26" t="s">
        <v>62</v>
      </c>
      <c r="E23" s="20"/>
      <c r="F23" s="20"/>
      <c r="G23" s="20"/>
      <c r="H23" s="18"/>
    </row>
    <row r="24" ht="15.75" customHeight="1">
      <c r="A24" s="19" t="s">
        <v>115</v>
      </c>
      <c r="B24" s="19">
        <v>0.0</v>
      </c>
      <c r="C24" s="26">
        <v>0.0</v>
      </c>
      <c r="D24" s="26" t="s">
        <v>62</v>
      </c>
      <c r="E24" s="20"/>
      <c r="F24" s="20"/>
      <c r="G24" s="20"/>
      <c r="H24" s="18"/>
    </row>
    <row r="25" ht="15.75" customHeight="1">
      <c r="A25" s="19" t="s">
        <v>87</v>
      </c>
      <c r="B25" s="19">
        <v>4661.0</v>
      </c>
      <c r="C25" s="26">
        <v>4366.0</v>
      </c>
      <c r="D25" s="26" t="s">
        <v>72</v>
      </c>
      <c r="E25" s="20"/>
      <c r="F25" s="20"/>
      <c r="G25" s="20"/>
      <c r="H25" s="18"/>
    </row>
    <row r="26" ht="15.75" customHeight="1">
      <c r="A26" s="19" t="s">
        <v>88</v>
      </c>
      <c r="B26" s="19">
        <v>4000.0</v>
      </c>
      <c r="C26" s="26">
        <v>0.0</v>
      </c>
      <c r="D26" s="26" t="s">
        <v>72</v>
      </c>
      <c r="E26" s="20"/>
      <c r="F26" s="20"/>
      <c r="G26" s="20"/>
      <c r="H26" s="18"/>
    </row>
    <row r="27" ht="15.75" customHeight="1">
      <c r="A27" s="19" t="s">
        <v>89</v>
      </c>
      <c r="B27" s="25">
        <v>3000.0</v>
      </c>
      <c r="C27" s="26">
        <v>1500.0</v>
      </c>
      <c r="D27" s="26" t="s">
        <v>72</v>
      </c>
      <c r="E27" s="20"/>
      <c r="F27" s="20"/>
      <c r="G27" s="20"/>
      <c r="H27" s="18"/>
    </row>
    <row r="28" ht="15.75" customHeight="1">
      <c r="A28" s="19" t="s">
        <v>91</v>
      </c>
      <c r="B28" s="25">
        <v>2100.0</v>
      </c>
      <c r="C28" s="26">
        <v>2100.0</v>
      </c>
      <c r="D28" s="26" t="s">
        <v>72</v>
      </c>
      <c r="E28" s="20"/>
      <c r="F28" s="20"/>
      <c r="G28" s="20"/>
      <c r="H28" s="18"/>
    </row>
    <row r="29" ht="15.75" customHeight="1">
      <c r="A29" s="19" t="s">
        <v>92</v>
      </c>
      <c r="B29" s="25">
        <v>3000.0</v>
      </c>
      <c r="C29" s="26">
        <v>3500.0</v>
      </c>
      <c r="D29" s="26" t="s">
        <v>72</v>
      </c>
      <c r="E29" s="20"/>
      <c r="F29" s="20"/>
      <c r="G29" s="20"/>
      <c r="H29" s="18"/>
    </row>
    <row r="30" ht="15.75" customHeight="1">
      <c r="A30" s="19" t="s">
        <v>93</v>
      </c>
      <c r="B30" s="19">
        <v>6000.0</v>
      </c>
      <c r="C30" s="26">
        <v>0.0</v>
      </c>
      <c r="D30" s="26" t="s">
        <v>72</v>
      </c>
      <c r="E30" s="20"/>
      <c r="F30" s="20"/>
      <c r="G30" s="20"/>
      <c r="H30" s="18"/>
    </row>
    <row r="31" ht="15.75" customHeight="1">
      <c r="A31" s="19" t="s">
        <v>94</v>
      </c>
      <c r="B31" s="19">
        <v>0.0</v>
      </c>
      <c r="C31" s="26">
        <v>0.0</v>
      </c>
      <c r="D31" s="26" t="s">
        <v>72</v>
      </c>
      <c r="E31" s="20"/>
      <c r="F31" s="20"/>
      <c r="G31" s="20"/>
      <c r="H31" s="18"/>
    </row>
    <row r="32" ht="15.75" customHeight="1">
      <c r="A32" s="19" t="s">
        <v>96</v>
      </c>
      <c r="B32" s="19">
        <v>0.0</v>
      </c>
      <c r="C32" s="26">
        <v>3000.0</v>
      </c>
      <c r="D32" s="26" t="s">
        <v>72</v>
      </c>
      <c r="E32" s="20"/>
      <c r="F32" s="20"/>
      <c r="G32" s="20"/>
      <c r="H32" s="18"/>
    </row>
    <row r="33" ht="15.75" customHeight="1">
      <c r="A33" s="19" t="s">
        <v>98</v>
      </c>
      <c r="B33" s="25">
        <v>1500.0</v>
      </c>
      <c r="C33" s="25">
        <v>1500.0</v>
      </c>
      <c r="D33" s="26" t="s">
        <v>72</v>
      </c>
      <c r="E33" s="20"/>
      <c r="F33" s="20"/>
      <c r="G33" s="19">
        <v>3000.0</v>
      </c>
      <c r="H33" s="18"/>
      <c r="I33" s="2">
        <v>2000.0</v>
      </c>
    </row>
    <row r="34" ht="15.75" customHeight="1">
      <c r="A34" s="19" t="s">
        <v>100</v>
      </c>
      <c r="B34" s="25">
        <v>5500.0</v>
      </c>
      <c r="C34" s="26">
        <v>5500.0</v>
      </c>
      <c r="D34" s="26" t="s">
        <v>72</v>
      </c>
      <c r="E34" s="20"/>
      <c r="F34" s="20"/>
      <c r="G34" s="19">
        <v>5315.0</v>
      </c>
      <c r="H34" s="18"/>
    </row>
    <row r="35" ht="15.75" customHeight="1">
      <c r="A35" s="21" t="s">
        <v>111</v>
      </c>
      <c r="B35" s="27">
        <v>15000.0</v>
      </c>
      <c r="C35" s="26">
        <v>14000.0</v>
      </c>
      <c r="D35" s="26" t="s">
        <v>72</v>
      </c>
      <c r="E35" s="18"/>
      <c r="F35" s="18"/>
      <c r="G35" s="19">
        <v>4661.0</v>
      </c>
      <c r="H35" s="18"/>
    </row>
    <row r="36" ht="15.75" customHeight="1">
      <c r="A36" s="21"/>
      <c r="B36" s="21"/>
      <c r="C36" s="28"/>
      <c r="D36" s="21"/>
      <c r="E36" s="18"/>
      <c r="F36" s="18"/>
      <c r="G36" s="18"/>
      <c r="H36" s="18"/>
    </row>
    <row r="37" ht="15.75" customHeight="1">
      <c r="A37" s="21"/>
      <c r="B37" s="21"/>
      <c r="C37" s="21"/>
      <c r="D37" s="21"/>
      <c r="E37" s="18"/>
      <c r="F37" s="18"/>
      <c r="G37" s="18"/>
      <c r="H37" s="18"/>
    </row>
    <row r="38" ht="15.75" customHeight="1">
      <c r="A38" s="21"/>
      <c r="B38" s="21"/>
      <c r="C38" s="21"/>
      <c r="D38" s="21"/>
      <c r="E38" s="18"/>
      <c r="F38" s="18"/>
      <c r="G38" s="18"/>
      <c r="H38" s="18"/>
    </row>
    <row r="39" ht="15.75" customHeight="1">
      <c r="A39" s="21"/>
      <c r="B39" s="21"/>
      <c r="C39" s="21"/>
      <c r="D39" s="21"/>
      <c r="E39" s="18"/>
      <c r="F39" s="18"/>
      <c r="G39" s="18"/>
      <c r="H39" s="18"/>
    </row>
    <row r="40" ht="15.75" customHeight="1">
      <c r="A40" s="21" t="s">
        <v>101</v>
      </c>
      <c r="B40" s="21">
        <f>SUM(B3:B39)</f>
        <v>144173</v>
      </c>
      <c r="C40" s="21"/>
      <c r="D40" s="21"/>
      <c r="E40" s="18"/>
      <c r="F40" s="18"/>
      <c r="G40" s="18"/>
      <c r="H40" s="18"/>
    </row>
    <row r="41" ht="15.75" customHeight="1">
      <c r="A41" s="21" t="s">
        <v>102</v>
      </c>
      <c r="C41" s="21">
        <f>SUM(C3:C39)</f>
        <v>132900</v>
      </c>
      <c r="D41" s="21"/>
      <c r="E41" s="18"/>
      <c r="F41" s="18"/>
      <c r="G41" s="18"/>
      <c r="H41" s="18"/>
    </row>
    <row r="42" ht="15.75" customHeight="1">
      <c r="A42" s="21"/>
      <c r="B42" s="21"/>
      <c r="C42" s="21"/>
      <c r="D42" s="21"/>
      <c r="E42" s="18"/>
      <c r="F42" s="18"/>
      <c r="G42" s="18"/>
      <c r="H42" s="18"/>
      <c r="K42" s="2">
        <v>42000.0</v>
      </c>
    </row>
    <row r="43" ht="15.75" customHeight="1">
      <c r="A43" s="21" t="s">
        <v>67</v>
      </c>
      <c r="B43" s="21"/>
      <c r="C43" s="21"/>
      <c r="D43" s="29">
        <v>145399.0</v>
      </c>
      <c r="E43" s="18"/>
      <c r="F43" s="18"/>
      <c r="G43" s="18"/>
      <c r="H43" s="18"/>
    </row>
    <row r="44" ht="15.75" customHeight="1">
      <c r="A44" s="21"/>
      <c r="B44" s="21"/>
      <c r="C44" s="21"/>
      <c r="D44" s="21"/>
      <c r="E44" s="18"/>
      <c r="F44" s="18"/>
      <c r="G44" s="18"/>
      <c r="H44" s="18"/>
    </row>
    <row r="45" ht="15.75" customHeight="1">
      <c r="A45" s="21" t="s">
        <v>68</v>
      </c>
      <c r="B45" s="22">
        <f>D43-B40</f>
        <v>1226</v>
      </c>
      <c r="C45" s="22">
        <f>D43-C41</f>
        <v>12499</v>
      </c>
      <c r="D45" s="22"/>
      <c r="E45" s="18"/>
      <c r="F45" s="18"/>
      <c r="G45" s="18"/>
      <c r="H45" s="18"/>
    </row>
    <row r="46" ht="15.75" customHeight="1">
      <c r="A46" s="18"/>
      <c r="B46" s="18"/>
      <c r="C46" s="18"/>
      <c r="D46" s="18"/>
      <c r="E46" s="18"/>
      <c r="F46" s="23"/>
      <c r="G46" s="18"/>
      <c r="H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G$35"/>
  <mergeCells count="1">
    <mergeCell ref="A1:G1"/>
  </mergeCells>
  <conditionalFormatting sqref="D3:D35">
    <cfRule type="containsText" dxfId="0" priority="1" operator="containsText" text="TBD">
      <formula>NOT(ISERROR(SEARCH(("TBD"),(D3))))</formula>
    </cfRule>
  </conditionalFormatting>
  <conditionalFormatting sqref="D3:D35">
    <cfRule type="cellIs" dxfId="1" priority="2" operator="equal">
      <formula>"Completed"</formula>
    </cfRule>
  </conditionalFormatting>
  <dataValidations>
    <dataValidation type="list" allowBlank="1" showErrorMessage="1" sqref="J4">
      <formula1>$J$3:$J$4</formula1>
    </dataValidation>
    <dataValidation type="list" allowBlank="1" showErrorMessage="1" sqref="J3 D3:D35">
      <formula1>$J$3:$J$5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29.0"/>
    <col customWidth="1" min="3" max="3" width="24.44"/>
    <col customWidth="1" min="4" max="4" width="22.0"/>
    <col customWidth="1" min="5" max="5" width="9.0"/>
    <col customWidth="1" min="6" max="6" width="16.0"/>
    <col customWidth="1" min="7" max="7" width="11.44"/>
    <col customWidth="1" min="8" max="9" width="10.56"/>
    <col customWidth="1" min="10" max="10" width="10.11"/>
    <col customWidth="1" min="11" max="11" width="6.11"/>
    <col customWidth="1" min="12" max="12" width="7.11"/>
    <col customWidth="1" min="13" max="13" width="9.33"/>
    <col customWidth="1" min="14" max="14" width="7.11"/>
    <col customWidth="1" min="15" max="26" width="10.56"/>
  </cols>
  <sheetData>
    <row r="1" ht="39.0" customHeight="1">
      <c r="A1" s="17" t="s">
        <v>69</v>
      </c>
      <c r="B1" s="9"/>
      <c r="C1" s="9"/>
      <c r="D1" s="9"/>
      <c r="E1" s="9"/>
      <c r="F1" s="9"/>
      <c r="G1" s="10"/>
      <c r="H1" s="18"/>
    </row>
    <row r="2" ht="15.75" hidden="1" customHeight="1">
      <c r="A2" s="19" t="s">
        <v>32</v>
      </c>
      <c r="B2" s="19" t="s">
        <v>70</v>
      </c>
      <c r="C2" s="19" t="s">
        <v>71</v>
      </c>
      <c r="D2" s="19" t="s">
        <v>34</v>
      </c>
      <c r="E2" s="20"/>
      <c r="F2" s="19" t="s">
        <v>35</v>
      </c>
      <c r="G2" s="19"/>
      <c r="H2" s="18"/>
    </row>
    <row r="3" ht="15.75" customHeight="1">
      <c r="A3" s="19" t="s">
        <v>36</v>
      </c>
      <c r="B3" s="19">
        <v>15500.0</v>
      </c>
      <c r="C3" s="26">
        <v>15500.0</v>
      </c>
      <c r="D3" s="26" t="s">
        <v>72</v>
      </c>
      <c r="E3" s="20"/>
      <c r="F3" s="19" t="s">
        <v>37</v>
      </c>
      <c r="G3" s="19">
        <f>SUMIF(A:A, "*RD*", C:C)</f>
        <v>374262</v>
      </c>
      <c r="H3" s="18"/>
      <c r="J3" s="2" t="s">
        <v>72</v>
      </c>
    </row>
    <row r="4" ht="15.75" customHeight="1">
      <c r="A4" s="19" t="s">
        <v>38</v>
      </c>
      <c r="B4" s="19">
        <v>2000.0</v>
      </c>
      <c r="C4" s="26">
        <v>2000.0</v>
      </c>
      <c r="D4" s="26" t="s">
        <v>72</v>
      </c>
      <c r="E4" s="20"/>
      <c r="F4" s="19" t="s">
        <v>39</v>
      </c>
      <c r="G4" s="19">
        <f>SUMIF(A:A, "*MF*", C:C)</f>
        <v>17000</v>
      </c>
      <c r="H4" s="18"/>
      <c r="J4" s="30" t="s">
        <v>73</v>
      </c>
    </row>
    <row r="5" ht="15.75" customHeight="1">
      <c r="A5" s="19" t="s">
        <v>40</v>
      </c>
      <c r="B5" s="19">
        <v>16392.0</v>
      </c>
      <c r="C5" s="26">
        <v>16392.0</v>
      </c>
      <c r="D5" s="26" t="s">
        <v>72</v>
      </c>
      <c r="E5" s="20"/>
      <c r="F5" s="19" t="s">
        <v>41</v>
      </c>
      <c r="G5" s="19">
        <v>0.0</v>
      </c>
      <c r="H5" s="18"/>
      <c r="J5" s="30" t="s">
        <v>116</v>
      </c>
    </row>
    <row r="6" ht="15.75" customHeight="1">
      <c r="A6" s="19" t="s">
        <v>42</v>
      </c>
      <c r="B6" s="26">
        <v>4000.0</v>
      </c>
      <c r="C6" s="26">
        <v>4000.0</v>
      </c>
      <c r="D6" s="26" t="s">
        <v>72</v>
      </c>
      <c r="E6" s="20"/>
      <c r="F6" s="19"/>
      <c r="G6" s="19"/>
      <c r="H6" s="18"/>
    </row>
    <row r="7" ht="15.75" customHeight="1">
      <c r="A7" s="19" t="s">
        <v>43</v>
      </c>
      <c r="B7" s="19">
        <v>945.0</v>
      </c>
      <c r="C7" s="26">
        <v>945.0</v>
      </c>
      <c r="D7" s="26" t="s">
        <v>72</v>
      </c>
      <c r="E7" s="20"/>
      <c r="F7" s="19" t="s">
        <v>44</v>
      </c>
      <c r="G7" s="19">
        <f>SUM(G3:G5)</f>
        <v>391262</v>
      </c>
      <c r="H7" s="18"/>
    </row>
    <row r="8" ht="15.75" customHeight="1">
      <c r="A8" s="19" t="s">
        <v>45</v>
      </c>
      <c r="B8" s="19">
        <v>5000.0</v>
      </c>
      <c r="C8" s="26">
        <v>5000.0</v>
      </c>
      <c r="D8" s="26" t="s">
        <v>72</v>
      </c>
      <c r="E8" s="20"/>
      <c r="F8" s="20"/>
      <c r="G8" s="20"/>
      <c r="H8" s="18"/>
    </row>
    <row r="9" ht="15.75" customHeight="1">
      <c r="A9" s="19" t="s">
        <v>46</v>
      </c>
      <c r="B9" s="19">
        <v>5000.0</v>
      </c>
      <c r="C9" s="26">
        <v>5000.0</v>
      </c>
      <c r="D9" s="26" t="s">
        <v>72</v>
      </c>
      <c r="E9" s="20"/>
      <c r="F9" s="20"/>
      <c r="G9" s="20"/>
      <c r="H9" s="18"/>
    </row>
    <row r="10" ht="15.75" customHeight="1">
      <c r="A10" s="19" t="s">
        <v>47</v>
      </c>
      <c r="B10" s="19">
        <v>2433.0</v>
      </c>
      <c r="C10" s="26">
        <v>2433.0</v>
      </c>
      <c r="D10" s="26" t="s">
        <v>72</v>
      </c>
      <c r="E10" s="20"/>
      <c r="F10" s="19" t="s">
        <v>48</v>
      </c>
      <c r="G10" s="19">
        <v>25204.0</v>
      </c>
      <c r="H10" s="18"/>
    </row>
    <row r="11" ht="15.75" customHeight="1">
      <c r="A11" s="19" t="s">
        <v>49</v>
      </c>
      <c r="B11" s="19">
        <v>5267.0</v>
      </c>
      <c r="C11" s="26">
        <v>5348.0</v>
      </c>
      <c r="D11" s="26" t="s">
        <v>72</v>
      </c>
      <c r="E11" s="20"/>
      <c r="F11" s="19" t="s">
        <v>50</v>
      </c>
      <c r="G11" s="19">
        <v>12500.0</v>
      </c>
      <c r="H11" s="18"/>
    </row>
    <row r="12" ht="15.75" customHeight="1">
      <c r="A12" s="19" t="s">
        <v>51</v>
      </c>
      <c r="B12" s="26">
        <v>3251.0</v>
      </c>
      <c r="C12" s="26">
        <v>3490.0</v>
      </c>
      <c r="D12" s="26" t="s">
        <v>72</v>
      </c>
      <c r="E12" s="20"/>
      <c r="F12" s="19"/>
      <c r="G12" s="19"/>
      <c r="H12" s="18"/>
    </row>
    <row r="13" ht="15.75" customHeight="1">
      <c r="A13" s="19" t="s">
        <v>52</v>
      </c>
      <c r="B13" s="19">
        <v>3000.0</v>
      </c>
      <c r="C13" s="26">
        <v>3000.0</v>
      </c>
      <c r="D13" s="26" t="s">
        <v>72</v>
      </c>
      <c r="E13" s="20"/>
      <c r="F13" s="19" t="s">
        <v>44</v>
      </c>
      <c r="G13" s="19">
        <f>SUM(G10:G11)</f>
        <v>37704</v>
      </c>
      <c r="H13" s="18"/>
      <c r="M13" s="2" t="s">
        <v>103</v>
      </c>
      <c r="N13" s="2">
        <v>70000.0</v>
      </c>
    </row>
    <row r="14" ht="15.75" customHeight="1">
      <c r="A14" s="19" t="s">
        <v>53</v>
      </c>
      <c r="B14" s="19">
        <v>5000.0</v>
      </c>
      <c r="C14" s="26">
        <v>5000.0</v>
      </c>
      <c r="D14" s="26" t="s">
        <v>72</v>
      </c>
      <c r="E14" s="20"/>
      <c r="F14" s="20"/>
      <c r="G14" s="20"/>
      <c r="H14" s="18"/>
      <c r="M14" s="2" t="s">
        <v>37</v>
      </c>
      <c r="N14" s="7">
        <v>112000.0</v>
      </c>
    </row>
    <row r="15" ht="15.75" customHeight="1">
      <c r="A15" s="19" t="s">
        <v>54</v>
      </c>
      <c r="B15" s="26">
        <v>9000.0</v>
      </c>
      <c r="C15" s="26">
        <v>9000.0</v>
      </c>
      <c r="D15" s="26" t="s">
        <v>72</v>
      </c>
      <c r="E15" s="20"/>
      <c r="F15" s="20"/>
      <c r="G15" s="20"/>
      <c r="H15" s="18"/>
      <c r="M15" s="2" t="s">
        <v>104</v>
      </c>
      <c r="N15" s="2">
        <v>200000.0</v>
      </c>
    </row>
    <row r="16" ht="15.75" customHeight="1">
      <c r="A16" s="19" t="s">
        <v>55</v>
      </c>
      <c r="B16" s="19">
        <v>5000.0</v>
      </c>
      <c r="C16" s="26">
        <v>5000.0</v>
      </c>
      <c r="D16" s="26" t="s">
        <v>72</v>
      </c>
      <c r="E16" s="20"/>
      <c r="F16" s="20"/>
      <c r="G16" s="20"/>
      <c r="H16" s="18"/>
      <c r="M16" s="2" t="s">
        <v>91</v>
      </c>
      <c r="N16" s="7">
        <v>97527.0</v>
      </c>
    </row>
    <row r="17" ht="15.75" customHeight="1">
      <c r="A17" s="26" t="s">
        <v>117</v>
      </c>
      <c r="B17" s="26">
        <v>2318.0</v>
      </c>
      <c r="C17" s="26">
        <v>2318.0</v>
      </c>
      <c r="D17" s="26" t="s">
        <v>72</v>
      </c>
      <c r="E17" s="20"/>
      <c r="F17" s="19" t="s">
        <v>20</v>
      </c>
      <c r="G17" s="19">
        <f>SUMIF(F:F, "*Sub Total*", G:G)</f>
        <v>428966</v>
      </c>
      <c r="H17" s="18"/>
      <c r="N17" s="2">
        <v>0.0</v>
      </c>
    </row>
    <row r="18" ht="15.75" customHeight="1">
      <c r="A18" s="19" t="s">
        <v>57</v>
      </c>
      <c r="B18" s="26">
        <v>360.0</v>
      </c>
      <c r="C18" s="26">
        <v>0.0</v>
      </c>
      <c r="D18" s="26" t="s">
        <v>72</v>
      </c>
      <c r="E18" s="20"/>
      <c r="F18" s="20"/>
      <c r="G18" s="20"/>
      <c r="H18" s="18"/>
      <c r="N18" s="2">
        <v>0.0</v>
      </c>
    </row>
    <row r="19" ht="15.75" customHeight="1">
      <c r="A19" s="19" t="s">
        <v>58</v>
      </c>
      <c r="B19" s="19">
        <v>2000.0</v>
      </c>
      <c r="C19" s="26">
        <v>2000.0</v>
      </c>
      <c r="D19" s="26" t="s">
        <v>72</v>
      </c>
      <c r="E19" s="20"/>
      <c r="F19" s="20"/>
      <c r="G19" s="20"/>
      <c r="H19" s="18"/>
      <c r="N19" s="2">
        <v>0.0</v>
      </c>
    </row>
    <row r="20" ht="15.75" customHeight="1">
      <c r="A20" s="19" t="s">
        <v>59</v>
      </c>
      <c r="B20" s="19">
        <v>2000.0</v>
      </c>
      <c r="C20" s="26">
        <v>2000.0</v>
      </c>
      <c r="D20" s="26" t="s">
        <v>72</v>
      </c>
      <c r="E20" s="20"/>
      <c r="F20" s="20"/>
      <c r="G20" s="20"/>
      <c r="H20" s="18"/>
      <c r="M20" s="2" t="s">
        <v>105</v>
      </c>
      <c r="N20" s="2">
        <f>SUM(N13:N19)</f>
        <v>479527</v>
      </c>
    </row>
    <row r="21" ht="15.75" customHeight="1">
      <c r="A21" s="19" t="s">
        <v>118</v>
      </c>
      <c r="B21" s="19">
        <v>5000.0</v>
      </c>
      <c r="C21" s="26">
        <v>5000.0</v>
      </c>
      <c r="D21" s="26" t="s">
        <v>72</v>
      </c>
      <c r="E21" s="20"/>
      <c r="F21" s="20"/>
      <c r="G21" s="20"/>
      <c r="H21" s="18"/>
    </row>
    <row r="22" ht="15.75" customHeight="1">
      <c r="A22" s="19" t="s">
        <v>119</v>
      </c>
      <c r="B22" s="19">
        <v>5000.0</v>
      </c>
      <c r="C22" s="26">
        <v>5000.0</v>
      </c>
      <c r="D22" s="26" t="s">
        <v>72</v>
      </c>
      <c r="E22" s="20"/>
      <c r="F22" s="20"/>
      <c r="G22" s="20"/>
      <c r="H22" s="18"/>
    </row>
    <row r="23" ht="15.75" customHeight="1">
      <c r="A23" s="19" t="s">
        <v>87</v>
      </c>
      <c r="B23" s="26">
        <v>4366.0</v>
      </c>
      <c r="C23" s="26">
        <v>1200.0</v>
      </c>
      <c r="D23" s="26" t="s">
        <v>72</v>
      </c>
      <c r="E23" s="20"/>
      <c r="F23" s="20"/>
      <c r="G23" s="20"/>
      <c r="H23" s="18"/>
    </row>
    <row r="24" ht="15.75" customHeight="1">
      <c r="A24" s="19" t="s">
        <v>89</v>
      </c>
      <c r="B24" s="26">
        <v>1500.0</v>
      </c>
      <c r="C24" s="26">
        <v>2000.0</v>
      </c>
      <c r="D24" s="26" t="s">
        <v>72</v>
      </c>
      <c r="E24" s="20"/>
      <c r="F24" s="20"/>
      <c r="G24" s="20"/>
      <c r="H24" s="18"/>
    </row>
    <row r="25" ht="15.75" customHeight="1">
      <c r="A25" s="19" t="s">
        <v>91</v>
      </c>
      <c r="B25" s="25">
        <v>2100.0</v>
      </c>
      <c r="C25" s="26">
        <v>2100.0</v>
      </c>
      <c r="D25" s="26" t="s">
        <v>72</v>
      </c>
      <c r="E25" s="20"/>
      <c r="F25" s="20"/>
      <c r="G25" s="20"/>
      <c r="H25" s="18"/>
    </row>
    <row r="26" ht="15.75" customHeight="1">
      <c r="A26" s="19" t="s">
        <v>92</v>
      </c>
      <c r="B26" s="26">
        <v>3500.0</v>
      </c>
      <c r="C26" s="26">
        <v>0.0</v>
      </c>
      <c r="D26" s="26" t="s">
        <v>72</v>
      </c>
      <c r="E26" s="20"/>
      <c r="F26" s="20"/>
      <c r="G26" s="20"/>
      <c r="H26" s="18"/>
    </row>
    <row r="27" ht="15.75" customHeight="1">
      <c r="A27" s="19" t="s">
        <v>98</v>
      </c>
      <c r="B27" s="25">
        <v>1500.0</v>
      </c>
      <c r="C27" s="26">
        <v>2566.0</v>
      </c>
      <c r="D27" s="26" t="s">
        <v>72</v>
      </c>
      <c r="E27" s="20"/>
      <c r="F27" s="20"/>
      <c r="G27" s="19">
        <v>3000.0</v>
      </c>
      <c r="H27" s="18"/>
      <c r="I27" s="2">
        <v>2000.0</v>
      </c>
    </row>
    <row r="28" ht="15.75" customHeight="1">
      <c r="A28" s="19" t="s">
        <v>100</v>
      </c>
      <c r="B28" s="26">
        <v>0.0</v>
      </c>
      <c r="C28" s="26">
        <v>4100.0</v>
      </c>
      <c r="D28" s="26" t="s">
        <v>72</v>
      </c>
      <c r="E28" s="20"/>
      <c r="F28" s="20"/>
      <c r="G28" s="19">
        <v>5315.0</v>
      </c>
      <c r="H28" s="18"/>
    </row>
    <row r="29" ht="15.75" customHeight="1">
      <c r="A29" s="21" t="s">
        <v>111</v>
      </c>
      <c r="B29" s="28">
        <v>5000.0</v>
      </c>
      <c r="C29" s="26">
        <v>5000.0</v>
      </c>
      <c r="D29" s="26" t="s">
        <v>72</v>
      </c>
      <c r="E29" s="18"/>
      <c r="F29" s="18"/>
      <c r="G29" s="19">
        <v>4661.0</v>
      </c>
      <c r="H29" s="18"/>
    </row>
    <row r="30" ht="15.75" customHeight="1">
      <c r="A30" s="28" t="s">
        <v>120</v>
      </c>
      <c r="B30" s="28">
        <v>7000.0</v>
      </c>
      <c r="C30" s="28">
        <v>7000.0</v>
      </c>
      <c r="D30" s="26" t="s">
        <v>72</v>
      </c>
      <c r="E30" s="18"/>
      <c r="F30" s="18"/>
      <c r="G30" s="18"/>
      <c r="H30" s="18"/>
    </row>
    <row r="31" ht="15.75" customHeight="1">
      <c r="A31" s="21"/>
      <c r="B31" s="21"/>
      <c r="C31" s="21"/>
      <c r="D31" s="21"/>
      <c r="E31" s="18"/>
      <c r="F31" s="18"/>
      <c r="G31" s="18"/>
      <c r="H31" s="18"/>
    </row>
    <row r="32" ht="15.75" customHeight="1">
      <c r="A32" s="21"/>
      <c r="B32" s="21"/>
      <c r="C32" s="21"/>
      <c r="D32" s="21"/>
      <c r="E32" s="18"/>
      <c r="F32" s="18"/>
      <c r="G32" s="18"/>
      <c r="H32" s="18"/>
    </row>
    <row r="33" ht="15.75" customHeight="1">
      <c r="A33" s="21"/>
      <c r="B33" s="21"/>
      <c r="C33" s="21"/>
      <c r="D33" s="21"/>
      <c r="E33" s="18"/>
      <c r="F33" s="18"/>
      <c r="G33" s="18"/>
      <c r="H33" s="18"/>
    </row>
    <row r="34" ht="15.75" customHeight="1">
      <c r="A34" s="21" t="s">
        <v>101</v>
      </c>
      <c r="B34" s="21">
        <f>SUM(B3:B33)</f>
        <v>123432</v>
      </c>
      <c r="C34" s="21"/>
      <c r="D34" s="21"/>
      <c r="E34" s="18"/>
      <c r="F34" s="18"/>
      <c r="G34" s="18"/>
      <c r="H34" s="18"/>
    </row>
    <row r="35" ht="15.75" customHeight="1">
      <c r="A35" s="21" t="s">
        <v>102</v>
      </c>
      <c r="C35" s="21">
        <f>SUM(C3:C33)</f>
        <v>122392</v>
      </c>
      <c r="D35" s="21"/>
      <c r="E35" s="18"/>
      <c r="F35" s="18"/>
      <c r="G35" s="18"/>
      <c r="H35" s="18"/>
    </row>
    <row r="36" ht="15.75" customHeight="1">
      <c r="A36" s="21"/>
      <c r="B36" s="21"/>
      <c r="C36" s="21"/>
      <c r="D36" s="21"/>
      <c r="E36" s="18"/>
      <c r="F36" s="18"/>
      <c r="G36" s="18"/>
      <c r="H36" s="18"/>
      <c r="K36" s="2">
        <v>42000.0</v>
      </c>
    </row>
    <row r="37" ht="15.75" customHeight="1">
      <c r="A37" s="21" t="s">
        <v>67</v>
      </c>
      <c r="B37" s="21"/>
      <c r="C37" s="21"/>
      <c r="D37" s="29">
        <v>145399.0</v>
      </c>
      <c r="E37" s="18"/>
      <c r="F37" s="18"/>
      <c r="G37" s="18"/>
      <c r="H37" s="18"/>
    </row>
    <row r="38" ht="15.75" customHeight="1">
      <c r="A38" s="21"/>
      <c r="B38" s="21"/>
      <c r="C38" s="21"/>
      <c r="D38" s="21"/>
      <c r="E38" s="18"/>
      <c r="F38" s="18"/>
      <c r="G38" s="18"/>
      <c r="H38" s="18"/>
    </row>
    <row r="39" ht="15.75" customHeight="1">
      <c r="A39" s="21" t="s">
        <v>68</v>
      </c>
      <c r="B39" s="22">
        <f>D37-B34</f>
        <v>21967</v>
      </c>
      <c r="C39" s="22">
        <f>D37-C35</f>
        <v>23007</v>
      </c>
      <c r="D39" s="22"/>
      <c r="E39" s="18"/>
      <c r="F39" s="18"/>
      <c r="G39" s="18"/>
      <c r="H39" s="18"/>
    </row>
    <row r="40" ht="15.75" customHeight="1">
      <c r="A40" s="18"/>
      <c r="B40" s="18"/>
      <c r="C40" s="18"/>
      <c r="D40" s="18"/>
      <c r="E40" s="18"/>
      <c r="F40" s="23"/>
      <c r="G40" s="18"/>
      <c r="H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</row>
    <row r="43" ht="15.75" customHeight="1">
      <c r="A43" s="31" t="s">
        <v>121</v>
      </c>
      <c r="B43" s="18"/>
      <c r="C43" s="31">
        <v>55158.0</v>
      </c>
      <c r="D43" s="18"/>
      <c r="E43" s="18"/>
      <c r="F43" s="18"/>
      <c r="G43" s="18"/>
      <c r="H43" s="18"/>
    </row>
    <row r="44" ht="15.75" customHeight="1">
      <c r="A44" s="31" t="s">
        <v>122</v>
      </c>
      <c r="B44" s="18"/>
      <c r="C44" s="31">
        <v>182104.0</v>
      </c>
      <c r="D44" s="18"/>
      <c r="E44" s="18"/>
      <c r="F44" s="18"/>
      <c r="G44" s="18"/>
      <c r="H44" s="18"/>
    </row>
    <row r="45" ht="15.75" customHeight="1">
      <c r="A45" s="31" t="s">
        <v>123</v>
      </c>
      <c r="B45" s="18"/>
      <c r="C45" s="31">
        <v>135827.0</v>
      </c>
      <c r="D45" s="18"/>
      <c r="E45" s="18"/>
      <c r="F45" s="18"/>
      <c r="G45" s="18"/>
      <c r="H45" s="18"/>
    </row>
    <row r="46" ht="15.75" customHeight="1">
      <c r="A46" s="18"/>
      <c r="B46" s="18"/>
      <c r="C46" s="31">
        <v>46277.0</v>
      </c>
      <c r="D46" s="18"/>
      <c r="E46" s="18"/>
      <c r="F46" s="18"/>
      <c r="G46" s="18"/>
      <c r="H46" s="18"/>
    </row>
    <row r="47" ht="15.75" customHeight="1">
      <c r="A47" s="31" t="s">
        <v>124</v>
      </c>
      <c r="B47" s="18"/>
      <c r="C47" s="31">
        <v>120000.0</v>
      </c>
      <c r="D47" s="18"/>
      <c r="E47" s="18"/>
      <c r="F47" s="18"/>
      <c r="G47" s="18"/>
      <c r="H47" s="18"/>
    </row>
    <row r="48" ht="15.75" customHeight="1">
      <c r="A48" s="31" t="s">
        <v>125</v>
      </c>
      <c r="B48" s="18"/>
      <c r="C48" s="31">
        <v>73727.0</v>
      </c>
      <c r="D48" s="18"/>
      <c r="E48" s="18"/>
      <c r="F48" s="18"/>
      <c r="G48" s="18"/>
      <c r="H48" s="18"/>
    </row>
    <row r="49" ht="15.75" customHeight="1">
      <c r="A49" s="31" t="s">
        <v>126</v>
      </c>
      <c r="B49" s="18"/>
      <c r="C49" s="31">
        <v>50000.0</v>
      </c>
      <c r="D49" s="18"/>
      <c r="E49" s="18"/>
      <c r="F49" s="18"/>
      <c r="G49" s="18"/>
      <c r="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G$30">
    <filterColumn colId="3">
      <filters>
        <filter val="Completed"/>
      </filters>
    </filterColumn>
  </autoFilter>
  <mergeCells count="1">
    <mergeCell ref="A1:G1"/>
  </mergeCells>
  <conditionalFormatting sqref="D3:D30">
    <cfRule type="containsText" dxfId="0" priority="1" operator="containsText" text="TBD">
      <formula>NOT(ISERROR(SEARCH(("TBD"),(D3))))</formula>
    </cfRule>
  </conditionalFormatting>
  <conditionalFormatting sqref="D3:D30">
    <cfRule type="cellIs" dxfId="1" priority="2" operator="equal">
      <formula>"Completed"</formula>
    </cfRule>
  </conditionalFormatting>
  <dataValidations>
    <dataValidation type="list" allowBlank="1" showErrorMessage="1" sqref="J4">
      <formula1>$J$3:$J$4</formula1>
    </dataValidation>
    <dataValidation type="list" allowBlank="1" showErrorMessage="1" sqref="D3:D30">
      <formula1>$J$3:$J$5</formula1>
    </dataValidation>
    <dataValidation type="list" allowBlank="1" showErrorMessage="1" sqref="J3">
      <formula1>$J$3:$J$5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29.0"/>
    <col customWidth="1" min="3" max="3" width="24.44"/>
    <col customWidth="1" min="4" max="4" width="22.0"/>
    <col customWidth="1" min="5" max="5" width="9.0"/>
    <col customWidth="1" min="6" max="6" width="16.0"/>
    <col customWidth="1" min="7" max="7" width="11.44"/>
    <col customWidth="1" min="8" max="9" width="10.56"/>
    <col customWidth="1" min="10" max="10" width="10.11"/>
    <col customWidth="1" min="11" max="11" width="6.11"/>
    <col customWidth="1" min="12" max="12" width="7.11"/>
    <col customWidth="1" min="13" max="13" width="9.33"/>
    <col customWidth="1" min="14" max="14" width="7.11"/>
    <col customWidth="1" min="15" max="26" width="10.56"/>
  </cols>
  <sheetData>
    <row r="1" ht="39.0" customHeight="1">
      <c r="A1" s="17" t="s">
        <v>69</v>
      </c>
      <c r="B1" s="9"/>
      <c r="C1" s="9"/>
      <c r="D1" s="9"/>
      <c r="E1" s="9"/>
      <c r="F1" s="9"/>
      <c r="G1" s="10"/>
      <c r="H1" s="18"/>
    </row>
    <row r="2" ht="15.75" hidden="1" customHeight="1">
      <c r="A2" s="19" t="s">
        <v>32</v>
      </c>
      <c r="B2" s="19" t="s">
        <v>70</v>
      </c>
      <c r="C2" s="19" t="s">
        <v>71</v>
      </c>
      <c r="D2" s="19" t="s">
        <v>34</v>
      </c>
      <c r="E2" s="20"/>
      <c r="F2" s="19" t="s">
        <v>35</v>
      </c>
      <c r="G2" s="19"/>
      <c r="H2" s="18"/>
    </row>
    <row r="3" ht="15.75" hidden="1" customHeight="1">
      <c r="A3" s="19" t="s">
        <v>36</v>
      </c>
      <c r="B3" s="19">
        <v>15500.0</v>
      </c>
      <c r="C3" s="26">
        <v>15500.0</v>
      </c>
      <c r="D3" s="26" t="s">
        <v>72</v>
      </c>
      <c r="E3" s="20"/>
      <c r="F3" s="19" t="s">
        <v>37</v>
      </c>
      <c r="G3" s="19">
        <f>SUMIF(A:A, "*RD*", C:C)</f>
        <v>369262</v>
      </c>
      <c r="H3" s="18"/>
      <c r="J3" s="2" t="s">
        <v>72</v>
      </c>
    </row>
    <row r="4" ht="15.75" hidden="1" customHeight="1">
      <c r="A4" s="19" t="s">
        <v>38</v>
      </c>
      <c r="B4" s="19">
        <v>2000.0</v>
      </c>
      <c r="C4" s="26">
        <v>2000.0</v>
      </c>
      <c r="D4" s="26" t="s">
        <v>72</v>
      </c>
      <c r="E4" s="20"/>
      <c r="F4" s="19" t="s">
        <v>39</v>
      </c>
      <c r="G4" s="19">
        <f>SUMIF(A:A, "*MF*", C:C)</f>
        <v>14000</v>
      </c>
      <c r="H4" s="18"/>
      <c r="J4" s="30" t="s">
        <v>73</v>
      </c>
    </row>
    <row r="5" ht="15.75" customHeight="1">
      <c r="A5" s="19" t="s">
        <v>40</v>
      </c>
      <c r="B5" s="19">
        <v>16392.0</v>
      </c>
      <c r="C5" s="26">
        <v>16932.0</v>
      </c>
      <c r="D5" s="26" t="s">
        <v>72</v>
      </c>
      <c r="E5" s="20"/>
      <c r="F5" s="19" t="s">
        <v>41</v>
      </c>
      <c r="G5" s="19">
        <v>0.0</v>
      </c>
      <c r="H5" s="18"/>
      <c r="J5" s="30" t="s">
        <v>116</v>
      </c>
    </row>
    <row r="6" ht="15.75" customHeight="1">
      <c r="A6" s="19" t="s">
        <v>42</v>
      </c>
      <c r="B6" s="26">
        <v>4000.0</v>
      </c>
      <c r="C6" s="26">
        <v>2500.0</v>
      </c>
      <c r="D6" s="26" t="s">
        <v>72</v>
      </c>
      <c r="E6" s="20"/>
      <c r="F6" s="19"/>
      <c r="G6" s="19"/>
      <c r="H6" s="18"/>
    </row>
    <row r="7" ht="15.75" hidden="1" customHeight="1">
      <c r="A7" s="19" t="s">
        <v>43</v>
      </c>
      <c r="B7" s="19">
        <v>945.0</v>
      </c>
      <c r="C7" s="26">
        <v>780.0</v>
      </c>
      <c r="D7" s="26" t="s">
        <v>72</v>
      </c>
      <c r="E7" s="20"/>
      <c r="F7" s="19" t="s">
        <v>44</v>
      </c>
      <c r="G7" s="19">
        <f>SUM(G3:G5)</f>
        <v>383262</v>
      </c>
      <c r="H7" s="18"/>
    </row>
    <row r="8" ht="15.75" hidden="1" customHeight="1">
      <c r="A8" s="19" t="s">
        <v>45</v>
      </c>
      <c r="B8" s="19">
        <v>5000.0</v>
      </c>
      <c r="C8" s="26">
        <v>5000.0</v>
      </c>
      <c r="D8" s="26" t="s">
        <v>72</v>
      </c>
      <c r="E8" s="20"/>
      <c r="F8" s="20"/>
      <c r="G8" s="20"/>
      <c r="H8" s="18"/>
    </row>
    <row r="9" ht="15.75" hidden="1" customHeight="1">
      <c r="A9" s="19" t="s">
        <v>46</v>
      </c>
      <c r="B9" s="19">
        <v>5000.0</v>
      </c>
      <c r="C9" s="26">
        <v>0.0</v>
      </c>
      <c r="D9" s="26" t="s">
        <v>72</v>
      </c>
      <c r="E9" s="20"/>
      <c r="F9" s="20"/>
      <c r="G9" s="20"/>
      <c r="H9" s="18"/>
    </row>
    <row r="10" ht="15.75" customHeight="1">
      <c r="A10" s="19" t="s">
        <v>47</v>
      </c>
      <c r="B10" s="19">
        <v>2433.0</v>
      </c>
      <c r="C10" s="26">
        <v>2400.0</v>
      </c>
      <c r="D10" s="26" t="s">
        <v>72</v>
      </c>
      <c r="E10" s="20"/>
      <c r="F10" s="19" t="s">
        <v>48</v>
      </c>
      <c r="G10" s="19">
        <v>25204.0</v>
      </c>
      <c r="H10" s="18"/>
    </row>
    <row r="11" ht="15.75" hidden="1" customHeight="1">
      <c r="A11" s="19" t="s">
        <v>49</v>
      </c>
      <c r="B11" s="19">
        <v>5267.0</v>
      </c>
      <c r="C11" s="26">
        <v>0.0</v>
      </c>
      <c r="D11" s="26" t="s">
        <v>72</v>
      </c>
      <c r="E11" s="20"/>
      <c r="F11" s="19" t="s">
        <v>50</v>
      </c>
      <c r="G11" s="19">
        <v>12500.0</v>
      </c>
      <c r="H11" s="18"/>
    </row>
    <row r="12" ht="15.75" customHeight="1">
      <c r="A12" s="19" t="s">
        <v>51</v>
      </c>
      <c r="B12" s="26">
        <v>3251.0</v>
      </c>
      <c r="C12" s="26">
        <v>1093.0</v>
      </c>
      <c r="D12" s="26" t="s">
        <v>116</v>
      </c>
      <c r="E12" s="20"/>
      <c r="F12" s="19"/>
      <c r="G12" s="19"/>
      <c r="H12" s="18"/>
    </row>
    <row r="13" ht="15.75" customHeight="1">
      <c r="A13" s="19" t="s">
        <v>52</v>
      </c>
      <c r="B13" s="19">
        <v>3000.0</v>
      </c>
      <c r="C13" s="26">
        <v>0.0</v>
      </c>
      <c r="D13" s="26" t="s">
        <v>73</v>
      </c>
      <c r="E13" s="20"/>
      <c r="F13" s="19" t="s">
        <v>44</v>
      </c>
      <c r="G13" s="19">
        <f>SUM(G10:G11)</f>
        <v>37704</v>
      </c>
      <c r="H13" s="18"/>
      <c r="M13" s="2" t="s">
        <v>103</v>
      </c>
      <c r="N13" s="2">
        <v>70000.0</v>
      </c>
    </row>
    <row r="14" ht="15.75" hidden="1" customHeight="1">
      <c r="A14" s="19" t="s">
        <v>53</v>
      </c>
      <c r="B14" s="19">
        <v>5000.0</v>
      </c>
      <c r="C14" s="26">
        <v>5000.0</v>
      </c>
      <c r="D14" s="26" t="s">
        <v>72</v>
      </c>
      <c r="E14" s="20"/>
      <c r="F14" s="20"/>
      <c r="G14" s="20"/>
      <c r="H14" s="18"/>
      <c r="M14" s="2" t="s">
        <v>37</v>
      </c>
      <c r="N14" s="7">
        <v>112000.0</v>
      </c>
    </row>
    <row r="15" ht="15.75" hidden="1" customHeight="1">
      <c r="A15" s="19" t="s">
        <v>54</v>
      </c>
      <c r="B15" s="26">
        <v>9000.0</v>
      </c>
      <c r="C15" s="26">
        <v>9000.0</v>
      </c>
      <c r="D15" s="26" t="s">
        <v>72</v>
      </c>
      <c r="E15" s="20"/>
      <c r="F15" s="20"/>
      <c r="G15" s="20"/>
      <c r="H15" s="18"/>
      <c r="M15" s="2" t="s">
        <v>104</v>
      </c>
      <c r="N15" s="2">
        <v>200000.0</v>
      </c>
    </row>
    <row r="16" ht="15.75" customHeight="1">
      <c r="A16" s="19" t="s">
        <v>55</v>
      </c>
      <c r="B16" s="19">
        <v>5000.0</v>
      </c>
      <c r="C16" s="26">
        <v>0.0</v>
      </c>
      <c r="D16" s="26" t="s">
        <v>73</v>
      </c>
      <c r="E16" s="20"/>
      <c r="F16" s="20"/>
      <c r="G16" s="20"/>
      <c r="H16" s="18"/>
      <c r="M16" s="2" t="s">
        <v>91</v>
      </c>
      <c r="N16" s="7">
        <v>97527.0</v>
      </c>
    </row>
    <row r="17" ht="15.75" customHeight="1">
      <c r="A17" s="26" t="s">
        <v>117</v>
      </c>
      <c r="B17" s="26">
        <v>2318.0</v>
      </c>
      <c r="C17" s="26">
        <v>3436.0</v>
      </c>
      <c r="D17" s="26" t="s">
        <v>72</v>
      </c>
      <c r="E17" s="20"/>
      <c r="F17" s="19" t="s">
        <v>20</v>
      </c>
      <c r="G17" s="19">
        <f>SUMIF(F:F, "*Sub Total*", G:G)</f>
        <v>420966</v>
      </c>
      <c r="H17" s="18"/>
      <c r="N17" s="2">
        <v>0.0</v>
      </c>
    </row>
    <row r="18" ht="15.75" hidden="1" customHeight="1">
      <c r="A18" s="19" t="s">
        <v>57</v>
      </c>
      <c r="B18" s="26">
        <v>360.0</v>
      </c>
      <c r="C18" s="26">
        <v>362.0</v>
      </c>
      <c r="D18" s="26" t="s">
        <v>72</v>
      </c>
      <c r="E18" s="20"/>
      <c r="F18" s="20"/>
      <c r="G18" s="20"/>
      <c r="H18" s="18"/>
      <c r="N18" s="2">
        <v>0.0</v>
      </c>
    </row>
    <row r="19" ht="15.75" hidden="1" customHeight="1">
      <c r="A19" s="19" t="s">
        <v>58</v>
      </c>
      <c r="B19" s="19">
        <v>2000.0</v>
      </c>
      <c r="C19" s="26">
        <v>2000.0</v>
      </c>
      <c r="D19" s="26" t="s">
        <v>72</v>
      </c>
      <c r="E19" s="20"/>
      <c r="F19" s="20"/>
      <c r="G19" s="20"/>
      <c r="H19" s="18"/>
      <c r="N19" s="2">
        <v>0.0</v>
      </c>
    </row>
    <row r="20" ht="15.75" hidden="1" customHeight="1">
      <c r="A20" s="19" t="s">
        <v>59</v>
      </c>
      <c r="B20" s="19">
        <v>2000.0</v>
      </c>
      <c r="C20" s="26">
        <v>2000.0</v>
      </c>
      <c r="D20" s="26" t="s">
        <v>72</v>
      </c>
      <c r="E20" s="20"/>
      <c r="F20" s="20"/>
      <c r="G20" s="20"/>
      <c r="H20" s="18"/>
      <c r="M20" s="2" t="s">
        <v>105</v>
      </c>
      <c r="N20" s="2">
        <f>SUM(N13:N19)</f>
        <v>479527</v>
      </c>
    </row>
    <row r="21" ht="15.75" hidden="1" customHeight="1">
      <c r="A21" s="19" t="s">
        <v>127</v>
      </c>
      <c r="B21" s="19">
        <v>5000.0</v>
      </c>
      <c r="C21" s="26">
        <v>5000.0</v>
      </c>
      <c r="D21" s="26" t="s">
        <v>72</v>
      </c>
      <c r="E21" s="20"/>
      <c r="F21" s="20"/>
      <c r="G21" s="20"/>
      <c r="H21" s="18"/>
    </row>
    <row r="22" ht="15.75" hidden="1" customHeight="1">
      <c r="A22" s="19" t="s">
        <v>128</v>
      </c>
      <c r="B22" s="19">
        <v>5000.0</v>
      </c>
      <c r="C22" s="26">
        <v>5000.0</v>
      </c>
      <c r="D22" s="26" t="s">
        <v>72</v>
      </c>
      <c r="E22" s="20"/>
      <c r="F22" s="20"/>
      <c r="G22" s="20"/>
      <c r="H22" s="18"/>
    </row>
    <row r="23" ht="15.75" customHeight="1">
      <c r="A23" s="19" t="s">
        <v>87</v>
      </c>
      <c r="B23" s="26">
        <v>4366.0</v>
      </c>
      <c r="C23" s="26">
        <v>0.0</v>
      </c>
      <c r="D23" s="26" t="s">
        <v>73</v>
      </c>
      <c r="E23" s="20"/>
      <c r="F23" s="20"/>
      <c r="G23" s="20"/>
      <c r="H23" s="18"/>
    </row>
    <row r="24" ht="15.75" customHeight="1">
      <c r="A24" s="19" t="s">
        <v>89</v>
      </c>
      <c r="B24" s="26">
        <v>1500.0</v>
      </c>
      <c r="C24" s="26">
        <v>0.0</v>
      </c>
      <c r="D24" s="26" t="s">
        <v>73</v>
      </c>
      <c r="E24" s="20"/>
      <c r="F24" s="20"/>
      <c r="G24" s="20"/>
      <c r="H24" s="18"/>
    </row>
    <row r="25" ht="15.75" hidden="1" customHeight="1">
      <c r="A25" s="19" t="s">
        <v>91</v>
      </c>
      <c r="B25" s="25">
        <v>2100.0</v>
      </c>
      <c r="C25" s="26">
        <v>2100.0</v>
      </c>
      <c r="D25" s="26" t="s">
        <v>72</v>
      </c>
      <c r="E25" s="20"/>
      <c r="F25" s="20"/>
      <c r="G25" s="20"/>
      <c r="H25" s="18"/>
    </row>
    <row r="26" ht="15.75" customHeight="1">
      <c r="A26" s="19" t="s">
        <v>92</v>
      </c>
      <c r="B26" s="26">
        <v>3500.0</v>
      </c>
      <c r="C26" s="26">
        <v>1000.0</v>
      </c>
      <c r="D26" s="26" t="s">
        <v>116</v>
      </c>
      <c r="E26" s="20"/>
      <c r="F26" s="20"/>
      <c r="G26" s="20"/>
      <c r="H26" s="18"/>
    </row>
    <row r="27" ht="15.75" customHeight="1">
      <c r="A27" s="19" t="s">
        <v>98</v>
      </c>
      <c r="B27" s="25">
        <v>1500.0</v>
      </c>
      <c r="C27" s="26">
        <v>2000.0</v>
      </c>
      <c r="D27" s="26" t="s">
        <v>116</v>
      </c>
      <c r="E27" s="20"/>
      <c r="F27" s="20"/>
      <c r="G27" s="19">
        <v>3000.0</v>
      </c>
      <c r="H27" s="18"/>
      <c r="I27" s="2">
        <v>2000.0</v>
      </c>
    </row>
    <row r="28" ht="15.75" customHeight="1">
      <c r="A28" s="19" t="s">
        <v>100</v>
      </c>
      <c r="B28" s="26">
        <v>0.0</v>
      </c>
      <c r="C28" s="26">
        <v>30000.0</v>
      </c>
      <c r="D28" s="26" t="s">
        <v>73</v>
      </c>
      <c r="E28" s="20"/>
      <c r="F28" s="20"/>
      <c r="G28" s="19">
        <v>5315.0</v>
      </c>
      <c r="H28" s="18"/>
    </row>
    <row r="29" ht="15.75" customHeight="1">
      <c r="A29" s="21" t="s">
        <v>111</v>
      </c>
      <c r="B29" s="28">
        <v>5000.0</v>
      </c>
      <c r="C29" s="26">
        <v>4000.0</v>
      </c>
      <c r="D29" s="26" t="s">
        <v>116</v>
      </c>
      <c r="E29" s="18"/>
      <c r="F29" s="18"/>
      <c r="G29" s="19">
        <v>4661.0</v>
      </c>
      <c r="H29" s="18"/>
    </row>
    <row r="30" ht="15.75" hidden="1" customHeight="1">
      <c r="A30" s="28" t="s">
        <v>120</v>
      </c>
      <c r="B30" s="28">
        <v>7000.0</v>
      </c>
      <c r="C30" s="26">
        <v>7000.0</v>
      </c>
      <c r="D30" s="26" t="s">
        <v>72</v>
      </c>
      <c r="E30" s="18"/>
      <c r="F30" s="18"/>
      <c r="G30" s="18"/>
      <c r="H30" s="18"/>
    </row>
    <row r="31" ht="15.75" customHeight="1">
      <c r="A31" s="21"/>
      <c r="B31" s="21"/>
      <c r="C31" s="21"/>
      <c r="D31" s="21"/>
      <c r="E31" s="18"/>
      <c r="F31" s="18"/>
      <c r="G31" s="18"/>
      <c r="H31" s="18"/>
    </row>
    <row r="32" ht="15.75" customHeight="1">
      <c r="A32" s="21"/>
      <c r="B32" s="21"/>
      <c r="C32" s="21"/>
      <c r="D32" s="21"/>
      <c r="E32" s="18"/>
      <c r="F32" s="18"/>
      <c r="G32" s="18"/>
      <c r="H32" s="18"/>
    </row>
    <row r="33" ht="15.75" customHeight="1">
      <c r="A33" s="21"/>
      <c r="B33" s="21"/>
      <c r="C33" s="21"/>
      <c r="D33" s="21"/>
      <c r="E33" s="18"/>
      <c r="F33" s="18"/>
      <c r="G33" s="18"/>
      <c r="H33" s="18"/>
    </row>
    <row r="34" ht="15.75" customHeight="1">
      <c r="A34" s="21" t="s">
        <v>101</v>
      </c>
      <c r="B34" s="21">
        <f>SUM(B3:B33)</f>
        <v>123432</v>
      </c>
      <c r="C34" s="21"/>
      <c r="D34" s="21"/>
      <c r="E34" s="18"/>
      <c r="F34" s="18"/>
      <c r="G34" s="18"/>
      <c r="H34" s="18"/>
    </row>
    <row r="35" ht="15.75" customHeight="1">
      <c r="A35" s="21" t="s">
        <v>102</v>
      </c>
      <c r="C35" s="21">
        <f>SUM(C3:C33)</f>
        <v>124103</v>
      </c>
      <c r="D35" s="21"/>
      <c r="E35" s="18"/>
      <c r="F35" s="18"/>
      <c r="G35" s="18"/>
      <c r="H35" s="18"/>
    </row>
    <row r="36" ht="15.75" customHeight="1">
      <c r="A36" s="21"/>
      <c r="B36" s="21"/>
      <c r="C36" s="21"/>
      <c r="D36" s="21"/>
      <c r="E36" s="18"/>
      <c r="F36" s="18"/>
      <c r="G36" s="18"/>
      <c r="H36" s="18"/>
      <c r="K36" s="2">
        <v>42000.0</v>
      </c>
    </row>
    <row r="37" ht="15.75" customHeight="1">
      <c r="A37" s="21" t="s">
        <v>67</v>
      </c>
      <c r="B37" s="21"/>
      <c r="C37" s="21"/>
      <c r="D37" s="29">
        <v>145399.0</v>
      </c>
      <c r="E37" s="18"/>
      <c r="F37" s="18"/>
      <c r="G37" s="18"/>
      <c r="H37" s="18"/>
    </row>
    <row r="38" ht="15.75" customHeight="1">
      <c r="A38" s="21"/>
      <c r="B38" s="21"/>
      <c r="C38" s="21"/>
      <c r="D38" s="21"/>
      <c r="E38" s="18"/>
      <c r="F38" s="18"/>
      <c r="G38" s="18"/>
      <c r="H38" s="18"/>
    </row>
    <row r="39" ht="15.75" customHeight="1">
      <c r="A39" s="21" t="s">
        <v>68</v>
      </c>
      <c r="B39" s="22">
        <f>D37-B34</f>
        <v>21967</v>
      </c>
      <c r="C39" s="22">
        <f>D37-C35</f>
        <v>21296</v>
      </c>
      <c r="D39" s="22"/>
      <c r="E39" s="18"/>
      <c r="F39" s="18"/>
      <c r="G39" s="18"/>
      <c r="H39" s="18"/>
    </row>
    <row r="40" ht="15.75" customHeight="1">
      <c r="A40" s="18"/>
      <c r="B40" s="18"/>
      <c r="C40" s="18"/>
      <c r="D40" s="18"/>
      <c r="E40" s="18"/>
      <c r="F40" s="23"/>
      <c r="G40" s="18"/>
      <c r="H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</row>
    <row r="43" ht="15.75" customHeight="1">
      <c r="A43" s="31" t="s">
        <v>121</v>
      </c>
      <c r="B43" s="18"/>
      <c r="C43" s="31">
        <v>55158.0</v>
      </c>
      <c r="D43" s="18"/>
      <c r="E43" s="18"/>
      <c r="F43" s="18"/>
      <c r="G43" s="18"/>
      <c r="H43" s="18"/>
    </row>
    <row r="44" ht="15.75" customHeight="1">
      <c r="A44" s="31" t="s">
        <v>122</v>
      </c>
      <c r="B44" s="18"/>
      <c r="C44" s="31">
        <v>182104.0</v>
      </c>
      <c r="D44" s="18"/>
      <c r="E44" s="18"/>
      <c r="F44" s="18"/>
      <c r="G44" s="18"/>
      <c r="H44" s="18"/>
    </row>
    <row r="45" ht="15.75" customHeight="1">
      <c r="A45" s="31" t="s">
        <v>123</v>
      </c>
      <c r="B45" s="18"/>
      <c r="C45" s="31">
        <v>135827.0</v>
      </c>
      <c r="D45" s="18"/>
      <c r="E45" s="18"/>
      <c r="F45" s="18"/>
      <c r="G45" s="18"/>
      <c r="H45" s="18"/>
    </row>
    <row r="46" ht="15.75" customHeight="1">
      <c r="A46" s="18"/>
      <c r="B46" s="18"/>
      <c r="C46" s="31">
        <v>46277.0</v>
      </c>
      <c r="D46" s="18"/>
      <c r="E46" s="18"/>
      <c r="F46" s="18"/>
      <c r="G46" s="18"/>
      <c r="H46" s="18"/>
    </row>
    <row r="47" ht="15.75" customHeight="1">
      <c r="A47" s="31" t="s">
        <v>124</v>
      </c>
      <c r="B47" s="18"/>
      <c r="C47" s="31">
        <v>120000.0</v>
      </c>
      <c r="D47" s="18"/>
      <c r="E47" s="18"/>
      <c r="F47" s="18"/>
      <c r="G47" s="18"/>
      <c r="H47" s="18"/>
    </row>
    <row r="48" ht="15.75" customHeight="1">
      <c r="A48" s="31" t="s">
        <v>125</v>
      </c>
      <c r="B48" s="18"/>
      <c r="C48" s="31">
        <v>73727.0</v>
      </c>
      <c r="D48" s="18"/>
      <c r="E48" s="18"/>
      <c r="F48" s="18"/>
      <c r="G48" s="18"/>
      <c r="H48" s="18"/>
    </row>
    <row r="49" ht="15.75" customHeight="1">
      <c r="A49" s="31" t="s">
        <v>126</v>
      </c>
      <c r="B49" s="18"/>
      <c r="C49" s="31">
        <v>50000.0</v>
      </c>
      <c r="D49" s="18"/>
      <c r="E49" s="18"/>
      <c r="F49" s="18"/>
      <c r="G49" s="18"/>
      <c r="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G$30">
    <filterColumn colId="3">
      <filters>
        <filter val="InProgress"/>
        <filter val="Pending"/>
      </filters>
    </filterColumn>
  </autoFilter>
  <mergeCells count="1">
    <mergeCell ref="A1:G1"/>
  </mergeCells>
  <conditionalFormatting sqref="D3:D30">
    <cfRule type="containsText" dxfId="0" priority="1" operator="containsText" text="TBD">
      <formula>NOT(ISERROR(SEARCH(("TBD"),(D3))))</formula>
    </cfRule>
  </conditionalFormatting>
  <conditionalFormatting sqref="D3:D30">
    <cfRule type="cellIs" dxfId="1" priority="2" operator="equal">
      <formula>"Completed"</formula>
    </cfRule>
  </conditionalFormatting>
  <dataValidations>
    <dataValidation type="list" allowBlank="1" showErrorMessage="1" sqref="J4">
      <formula1>$J$3:$J$4</formula1>
    </dataValidation>
    <dataValidation type="list" allowBlank="1" showErrorMessage="1" sqref="D3:D30">
      <formula1>$J$3:$J$5</formula1>
    </dataValidation>
    <dataValidation type="list" allowBlank="1" showErrorMessage="1" sqref="J3">
      <formula1>$J$3:$J$5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29.0"/>
    <col customWidth="1" min="3" max="3" width="24.44"/>
    <col customWidth="1" min="4" max="4" width="22.0"/>
    <col customWidth="1" min="5" max="5" width="9.0"/>
    <col customWidth="1" min="6" max="6" width="16.0"/>
    <col customWidth="1" min="7" max="7" width="11.44"/>
    <col customWidth="1" min="8" max="9" width="10.56"/>
    <col customWidth="1" min="10" max="10" width="10.11"/>
    <col customWidth="1" min="11" max="11" width="6.11"/>
    <col customWidth="1" min="12" max="12" width="7.11"/>
    <col customWidth="1" min="13" max="13" width="9.33"/>
    <col customWidth="1" min="14" max="14" width="7.11"/>
    <col customWidth="1" min="15" max="26" width="10.56"/>
  </cols>
  <sheetData>
    <row r="1" ht="39.0" customHeight="1">
      <c r="A1" s="17" t="s">
        <v>69</v>
      </c>
      <c r="B1" s="9"/>
      <c r="C1" s="9"/>
      <c r="D1" s="9"/>
      <c r="E1" s="9"/>
      <c r="F1" s="9"/>
      <c r="G1" s="10"/>
      <c r="H1" s="18"/>
    </row>
    <row r="2" ht="15.75" customHeight="1">
      <c r="A2" s="19" t="s">
        <v>32</v>
      </c>
      <c r="B2" s="19" t="s">
        <v>70</v>
      </c>
      <c r="C2" s="19" t="s">
        <v>71</v>
      </c>
      <c r="D2" s="19" t="s">
        <v>34</v>
      </c>
      <c r="E2" s="20"/>
      <c r="F2" s="19" t="s">
        <v>35</v>
      </c>
      <c r="G2" s="19"/>
      <c r="H2" s="18"/>
    </row>
    <row r="3" ht="15.75" customHeight="1">
      <c r="A3" s="19" t="s">
        <v>36</v>
      </c>
      <c r="B3" s="19">
        <v>15500.0</v>
      </c>
      <c r="C3" s="26">
        <v>15500.0</v>
      </c>
      <c r="D3" s="26" t="s">
        <v>72</v>
      </c>
      <c r="E3" s="20"/>
      <c r="F3" s="19" t="s">
        <v>37</v>
      </c>
      <c r="G3" s="19">
        <f>SUMIF(A:A, "*RD*", C:C)</f>
        <v>357262</v>
      </c>
      <c r="H3" s="18"/>
      <c r="J3" s="2" t="s">
        <v>72</v>
      </c>
    </row>
    <row r="4" ht="15.75" customHeight="1">
      <c r="A4" s="19" t="s">
        <v>38</v>
      </c>
      <c r="B4" s="19">
        <v>2000.0</v>
      </c>
      <c r="C4" s="26">
        <v>0.0</v>
      </c>
      <c r="D4" s="26" t="s">
        <v>73</v>
      </c>
      <c r="E4" s="20"/>
      <c r="F4" s="19" t="s">
        <v>39</v>
      </c>
      <c r="G4" s="19">
        <f>SUMIF(A:A, "*MF*", C:C)</f>
        <v>0</v>
      </c>
      <c r="H4" s="18"/>
      <c r="J4" s="30" t="s">
        <v>73</v>
      </c>
    </row>
    <row r="5" ht="15.75" customHeight="1">
      <c r="A5" s="19" t="s">
        <v>40</v>
      </c>
      <c r="B5" s="19">
        <v>16392.0</v>
      </c>
      <c r="C5" s="26">
        <v>0.0</v>
      </c>
      <c r="D5" s="26" t="s">
        <v>73</v>
      </c>
      <c r="E5" s="20"/>
      <c r="F5" s="19" t="s">
        <v>41</v>
      </c>
      <c r="G5" s="19">
        <v>0.0</v>
      </c>
      <c r="H5" s="18"/>
      <c r="J5" s="30" t="s">
        <v>116</v>
      </c>
    </row>
    <row r="6" ht="15.75" customHeight="1">
      <c r="A6" s="19" t="s">
        <v>42</v>
      </c>
      <c r="B6" s="26">
        <v>4000.0</v>
      </c>
      <c r="C6" s="26">
        <v>0.0</v>
      </c>
      <c r="D6" s="26" t="s">
        <v>73</v>
      </c>
      <c r="E6" s="20"/>
      <c r="F6" s="19"/>
      <c r="G6" s="19"/>
      <c r="H6" s="18"/>
    </row>
    <row r="7" ht="15.75" customHeight="1">
      <c r="A7" s="19" t="s">
        <v>43</v>
      </c>
      <c r="B7" s="19">
        <v>945.0</v>
      </c>
      <c r="C7" s="26">
        <v>878.0</v>
      </c>
      <c r="D7" s="26" t="s">
        <v>72</v>
      </c>
      <c r="E7" s="20"/>
      <c r="F7" s="19" t="s">
        <v>44</v>
      </c>
      <c r="G7" s="19">
        <f>SUM(G3:G5)</f>
        <v>357262</v>
      </c>
      <c r="H7" s="18"/>
    </row>
    <row r="8" ht="15.75" customHeight="1">
      <c r="A8" s="19" t="s">
        <v>45</v>
      </c>
      <c r="B8" s="19">
        <v>5000.0</v>
      </c>
      <c r="C8" s="26">
        <v>0.0</v>
      </c>
      <c r="D8" s="26" t="s">
        <v>73</v>
      </c>
      <c r="E8" s="20"/>
      <c r="F8" s="20"/>
      <c r="G8" s="20"/>
      <c r="H8" s="18"/>
    </row>
    <row r="9" ht="15.75" customHeight="1">
      <c r="A9" s="19" t="s">
        <v>46</v>
      </c>
      <c r="B9" s="19">
        <v>5000.0</v>
      </c>
      <c r="C9" s="26">
        <v>0.0</v>
      </c>
      <c r="D9" s="26" t="s">
        <v>73</v>
      </c>
      <c r="E9" s="20"/>
      <c r="F9" s="20"/>
      <c r="G9" s="20"/>
      <c r="H9" s="18"/>
    </row>
    <row r="10" ht="15.75" customHeight="1">
      <c r="A10" s="19" t="s">
        <v>47</v>
      </c>
      <c r="B10" s="19">
        <v>2433.0</v>
      </c>
      <c r="C10" s="26">
        <v>0.0</v>
      </c>
      <c r="D10" s="26" t="s">
        <v>73</v>
      </c>
      <c r="E10" s="20"/>
      <c r="F10" s="19" t="s">
        <v>48</v>
      </c>
      <c r="G10" s="19">
        <v>25204.0</v>
      </c>
      <c r="H10" s="18"/>
    </row>
    <row r="11" ht="15.75" customHeight="1">
      <c r="A11" s="19" t="s">
        <v>49</v>
      </c>
      <c r="B11" s="19">
        <v>5267.0</v>
      </c>
      <c r="C11" s="26">
        <v>0.0</v>
      </c>
      <c r="D11" s="26" t="s">
        <v>73</v>
      </c>
      <c r="E11" s="20"/>
      <c r="F11" s="19" t="s">
        <v>50</v>
      </c>
      <c r="G11" s="19">
        <v>12500.0</v>
      </c>
      <c r="H11" s="18"/>
    </row>
    <row r="12" ht="15.75" customHeight="1">
      <c r="A12" s="19" t="s">
        <v>51</v>
      </c>
      <c r="B12" s="26">
        <v>3251.0</v>
      </c>
      <c r="C12" s="26">
        <v>0.0</v>
      </c>
      <c r="D12" s="26" t="s">
        <v>73</v>
      </c>
      <c r="E12" s="20"/>
      <c r="F12" s="19"/>
      <c r="G12" s="19"/>
      <c r="H12" s="18"/>
    </row>
    <row r="13" ht="15.75" customHeight="1">
      <c r="A13" s="19" t="s">
        <v>52</v>
      </c>
      <c r="B13" s="19">
        <v>3000.0</v>
      </c>
      <c r="C13" s="26">
        <v>0.0</v>
      </c>
      <c r="D13" s="26" t="s">
        <v>73</v>
      </c>
      <c r="E13" s="20"/>
      <c r="F13" s="19" t="s">
        <v>44</v>
      </c>
      <c r="G13" s="19">
        <f>SUM(G10:G11)</f>
        <v>37704</v>
      </c>
      <c r="H13" s="18"/>
      <c r="M13" s="2" t="s">
        <v>103</v>
      </c>
      <c r="N13" s="2">
        <v>70000.0</v>
      </c>
    </row>
    <row r="14" ht="15.75" customHeight="1">
      <c r="A14" s="19" t="s">
        <v>53</v>
      </c>
      <c r="B14" s="19">
        <v>5000.0</v>
      </c>
      <c r="C14" s="26">
        <v>0.0</v>
      </c>
      <c r="D14" s="26" t="s">
        <v>73</v>
      </c>
      <c r="E14" s="20"/>
      <c r="F14" s="20"/>
      <c r="G14" s="20"/>
      <c r="H14" s="18"/>
      <c r="M14" s="2" t="s">
        <v>37</v>
      </c>
      <c r="N14" s="7">
        <v>112000.0</v>
      </c>
    </row>
    <row r="15" ht="15.75" customHeight="1">
      <c r="A15" s="19" t="s">
        <v>54</v>
      </c>
      <c r="B15" s="26">
        <v>9000.0</v>
      </c>
      <c r="C15" s="26">
        <v>9000.0</v>
      </c>
      <c r="D15" s="26" t="s">
        <v>72</v>
      </c>
      <c r="E15" s="20"/>
      <c r="F15" s="20"/>
      <c r="G15" s="20"/>
      <c r="H15" s="18"/>
      <c r="M15" s="2" t="s">
        <v>104</v>
      </c>
      <c r="N15" s="2">
        <v>200000.0</v>
      </c>
    </row>
    <row r="16" ht="15.75" customHeight="1">
      <c r="A16" s="19" t="s">
        <v>55</v>
      </c>
      <c r="B16" s="19">
        <v>5000.0</v>
      </c>
      <c r="C16" s="26">
        <v>10000.0</v>
      </c>
      <c r="D16" s="26" t="s">
        <v>72</v>
      </c>
      <c r="E16" s="20"/>
      <c r="F16" s="20"/>
      <c r="G16" s="20"/>
      <c r="H16" s="18"/>
      <c r="M16" s="2" t="s">
        <v>91</v>
      </c>
      <c r="N16" s="7">
        <v>97527.0</v>
      </c>
    </row>
    <row r="17" ht="15.75" customHeight="1">
      <c r="A17" s="26" t="s">
        <v>117</v>
      </c>
      <c r="B17" s="26">
        <v>2318.0</v>
      </c>
      <c r="C17" s="26">
        <v>0.0</v>
      </c>
      <c r="D17" s="26" t="s">
        <v>73</v>
      </c>
      <c r="E17" s="20"/>
      <c r="F17" s="19" t="s">
        <v>20</v>
      </c>
      <c r="G17" s="19">
        <f>SUMIF(F:F, "*Sub Total*", G:G)</f>
        <v>394966</v>
      </c>
      <c r="H17" s="18"/>
      <c r="N17" s="2">
        <v>0.0</v>
      </c>
    </row>
    <row r="18" ht="15.75" customHeight="1">
      <c r="A18" s="19" t="s">
        <v>57</v>
      </c>
      <c r="B18" s="26">
        <v>360.0</v>
      </c>
      <c r="C18" s="26">
        <v>0.0</v>
      </c>
      <c r="D18" s="26" t="s">
        <v>73</v>
      </c>
      <c r="E18" s="20"/>
      <c r="F18" s="20"/>
      <c r="G18" s="20"/>
      <c r="H18" s="18"/>
      <c r="N18" s="2">
        <v>0.0</v>
      </c>
    </row>
    <row r="19" ht="15.75" customHeight="1">
      <c r="A19" s="19" t="s">
        <v>58</v>
      </c>
      <c r="B19" s="19">
        <v>2000.0</v>
      </c>
      <c r="C19" s="26">
        <v>0.0</v>
      </c>
      <c r="D19" s="26" t="s">
        <v>73</v>
      </c>
      <c r="E19" s="20"/>
      <c r="F19" s="20"/>
      <c r="G19" s="20"/>
      <c r="H19" s="18"/>
      <c r="N19" s="2">
        <v>0.0</v>
      </c>
    </row>
    <row r="20" ht="15.75" customHeight="1">
      <c r="A20" s="19" t="s">
        <v>59</v>
      </c>
      <c r="B20" s="19">
        <v>2000.0</v>
      </c>
      <c r="C20" s="26">
        <v>0.0</v>
      </c>
      <c r="D20" s="26" t="s">
        <v>73</v>
      </c>
      <c r="E20" s="20"/>
      <c r="F20" s="20"/>
      <c r="G20" s="20"/>
      <c r="H20" s="18"/>
      <c r="M20" s="2" t="s">
        <v>105</v>
      </c>
      <c r="N20" s="2">
        <f>SUM(N13:N19)</f>
        <v>479527</v>
      </c>
    </row>
    <row r="21" ht="15.75" customHeight="1">
      <c r="A21" s="19" t="s">
        <v>129</v>
      </c>
      <c r="B21" s="19">
        <v>5000.0</v>
      </c>
      <c r="C21" s="26">
        <v>0.0</v>
      </c>
      <c r="D21" s="26" t="s">
        <v>73</v>
      </c>
      <c r="E21" s="20"/>
      <c r="F21" s="20"/>
      <c r="G21" s="20"/>
      <c r="H21" s="18"/>
    </row>
    <row r="22" ht="15.75" customHeight="1">
      <c r="A22" s="19" t="s">
        <v>130</v>
      </c>
      <c r="B22" s="19">
        <v>5000.0</v>
      </c>
      <c r="C22" s="26">
        <v>0.0</v>
      </c>
      <c r="D22" s="26" t="s">
        <v>73</v>
      </c>
      <c r="E22" s="20"/>
      <c r="F22" s="20"/>
      <c r="G22" s="20"/>
      <c r="H22" s="18"/>
    </row>
    <row r="23" ht="15.75" customHeight="1">
      <c r="A23" s="19" t="s">
        <v>87</v>
      </c>
      <c r="B23" s="26">
        <v>4366.0</v>
      </c>
      <c r="C23" s="26">
        <v>0.0</v>
      </c>
      <c r="D23" s="26" t="s">
        <v>73</v>
      </c>
      <c r="E23" s="20"/>
      <c r="F23" s="20"/>
      <c r="G23" s="20"/>
      <c r="H23" s="18"/>
    </row>
    <row r="24" ht="15.75" customHeight="1">
      <c r="A24" s="19" t="s">
        <v>89</v>
      </c>
      <c r="B24" s="26">
        <v>1500.0</v>
      </c>
      <c r="C24" s="26">
        <v>0.0</v>
      </c>
      <c r="D24" s="26" t="s">
        <v>73</v>
      </c>
      <c r="E24" s="20"/>
      <c r="F24" s="20"/>
      <c r="G24" s="20"/>
      <c r="H24" s="18"/>
    </row>
    <row r="25" ht="15.75" customHeight="1">
      <c r="A25" s="19" t="s">
        <v>91</v>
      </c>
      <c r="B25" s="25">
        <v>2100.0</v>
      </c>
      <c r="C25" s="26">
        <v>0.0</v>
      </c>
      <c r="D25" s="26" t="s">
        <v>73</v>
      </c>
      <c r="E25" s="20"/>
      <c r="F25" s="20"/>
      <c r="G25" s="20"/>
      <c r="H25" s="18"/>
    </row>
    <row r="26" ht="15.75" customHeight="1">
      <c r="A26" s="19" t="s">
        <v>92</v>
      </c>
      <c r="B26" s="26">
        <v>3500.0</v>
      </c>
      <c r="C26" s="26">
        <v>0.0</v>
      </c>
      <c r="D26" s="26" t="s">
        <v>73</v>
      </c>
      <c r="E26" s="20"/>
      <c r="F26" s="20"/>
      <c r="G26" s="20"/>
      <c r="H26" s="18"/>
    </row>
    <row r="27" ht="15.75" customHeight="1">
      <c r="A27" s="19" t="s">
        <v>98</v>
      </c>
      <c r="B27" s="25">
        <v>1500.0</v>
      </c>
      <c r="C27" s="26">
        <v>0.0</v>
      </c>
      <c r="D27" s="26" t="s">
        <v>73</v>
      </c>
      <c r="E27" s="20"/>
      <c r="F27" s="20"/>
      <c r="G27" s="19">
        <v>3000.0</v>
      </c>
      <c r="H27" s="18"/>
      <c r="I27" s="2">
        <v>2000.0</v>
      </c>
    </row>
    <row r="28" ht="15.75" customHeight="1">
      <c r="A28" s="19" t="s">
        <v>100</v>
      </c>
      <c r="B28" s="26">
        <v>0.0</v>
      </c>
      <c r="C28" s="26">
        <v>0.0</v>
      </c>
      <c r="D28" s="26" t="s">
        <v>73</v>
      </c>
      <c r="E28" s="20"/>
      <c r="F28" s="20"/>
      <c r="G28" s="19">
        <v>5315.0</v>
      </c>
      <c r="H28" s="18"/>
    </row>
    <row r="29" ht="15.75" customHeight="1">
      <c r="A29" s="21" t="s">
        <v>111</v>
      </c>
      <c r="B29" s="28">
        <v>5000.0</v>
      </c>
      <c r="C29" s="26">
        <v>0.0</v>
      </c>
      <c r="D29" s="26" t="s">
        <v>73</v>
      </c>
      <c r="E29" s="18"/>
      <c r="F29" s="18"/>
      <c r="G29" s="19">
        <v>4661.0</v>
      </c>
      <c r="H29" s="18"/>
    </row>
    <row r="30" ht="15.75" customHeight="1">
      <c r="A30" s="28" t="s">
        <v>120</v>
      </c>
      <c r="B30" s="28">
        <v>7000.0</v>
      </c>
      <c r="C30" s="26">
        <v>0.0</v>
      </c>
      <c r="D30" s="26" t="s">
        <v>73</v>
      </c>
      <c r="E30" s="18"/>
      <c r="F30" s="18"/>
      <c r="G30" s="18"/>
      <c r="H30" s="18"/>
    </row>
    <row r="31" ht="15.75" customHeight="1">
      <c r="A31" s="21"/>
      <c r="B31" s="21"/>
      <c r="C31" s="21"/>
      <c r="D31" s="21"/>
      <c r="E31" s="18"/>
      <c r="F31" s="18"/>
      <c r="G31" s="18"/>
      <c r="H31" s="18"/>
    </row>
    <row r="32" ht="15.75" customHeight="1">
      <c r="A32" s="21"/>
      <c r="B32" s="21"/>
      <c r="C32" s="21"/>
      <c r="D32" s="21"/>
      <c r="E32" s="18"/>
      <c r="F32" s="18"/>
      <c r="G32" s="18"/>
      <c r="H32" s="18"/>
    </row>
    <row r="33" ht="15.75" customHeight="1">
      <c r="A33" s="21"/>
      <c r="B33" s="21"/>
      <c r="C33" s="21"/>
      <c r="D33" s="21"/>
      <c r="E33" s="18"/>
      <c r="F33" s="18"/>
      <c r="G33" s="18"/>
      <c r="H33" s="18"/>
    </row>
    <row r="34" ht="15.75" customHeight="1">
      <c r="A34" s="21" t="s">
        <v>101</v>
      </c>
      <c r="B34" s="21">
        <f>SUM(B3:B33)</f>
        <v>123432</v>
      </c>
      <c r="C34" s="21"/>
      <c r="D34" s="21"/>
      <c r="E34" s="18"/>
      <c r="F34" s="18"/>
      <c r="G34" s="18"/>
      <c r="H34" s="18"/>
    </row>
    <row r="35" ht="15.75" customHeight="1">
      <c r="A35" s="21" t="s">
        <v>102</v>
      </c>
      <c r="C35" s="21">
        <f>SUM(C3:C33)</f>
        <v>35378</v>
      </c>
      <c r="D35" s="21"/>
      <c r="E35" s="18"/>
      <c r="F35" s="18"/>
      <c r="G35" s="18"/>
      <c r="H35" s="18"/>
    </row>
    <row r="36" ht="15.75" customHeight="1">
      <c r="A36" s="21"/>
      <c r="B36" s="21"/>
      <c r="C36" s="21"/>
      <c r="D36" s="21"/>
      <c r="E36" s="18"/>
      <c r="F36" s="18"/>
      <c r="G36" s="18"/>
      <c r="H36" s="18"/>
      <c r="K36" s="2">
        <v>42000.0</v>
      </c>
    </row>
    <row r="37" ht="15.75" customHeight="1">
      <c r="A37" s="21" t="s">
        <v>67</v>
      </c>
      <c r="B37" s="21"/>
      <c r="C37" s="21"/>
      <c r="D37" s="29">
        <v>145399.0</v>
      </c>
      <c r="E37" s="18"/>
      <c r="F37" s="18"/>
      <c r="G37" s="18"/>
      <c r="H37" s="18"/>
    </row>
    <row r="38" ht="15.75" customHeight="1">
      <c r="A38" s="21"/>
      <c r="B38" s="21"/>
      <c r="C38" s="21"/>
      <c r="D38" s="21"/>
      <c r="E38" s="18"/>
      <c r="F38" s="18"/>
      <c r="G38" s="18"/>
      <c r="H38" s="18"/>
    </row>
    <row r="39" ht="15.75" customHeight="1">
      <c r="A39" s="21" t="s">
        <v>68</v>
      </c>
      <c r="B39" s="22">
        <f>D37-B34</f>
        <v>21967</v>
      </c>
      <c r="C39" s="22">
        <f>D37-C35</f>
        <v>110021</v>
      </c>
      <c r="D39" s="22"/>
      <c r="E39" s="18"/>
      <c r="F39" s="18"/>
      <c r="G39" s="18"/>
      <c r="H39" s="18"/>
    </row>
    <row r="40" ht="15.75" customHeight="1">
      <c r="A40" s="18"/>
      <c r="B40" s="18"/>
      <c r="C40" s="18"/>
      <c r="D40" s="18"/>
      <c r="E40" s="18"/>
      <c r="F40" s="23"/>
      <c r="G40" s="18"/>
      <c r="H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</row>
    <row r="43" ht="15.75" customHeight="1">
      <c r="A43" s="31" t="s">
        <v>121</v>
      </c>
      <c r="B43" s="18"/>
      <c r="C43" s="31">
        <v>55158.0</v>
      </c>
      <c r="D43" s="18"/>
      <c r="E43" s="18"/>
      <c r="F43" s="18"/>
      <c r="G43" s="18"/>
      <c r="H43" s="18"/>
    </row>
    <row r="44" ht="15.75" customHeight="1">
      <c r="A44" s="31" t="s">
        <v>122</v>
      </c>
      <c r="B44" s="18"/>
      <c r="C44" s="31">
        <v>182104.0</v>
      </c>
      <c r="D44" s="18"/>
      <c r="E44" s="18"/>
      <c r="F44" s="18"/>
      <c r="G44" s="18"/>
      <c r="H44" s="18"/>
    </row>
    <row r="45" ht="15.75" customHeight="1">
      <c r="A45" s="31" t="s">
        <v>123</v>
      </c>
      <c r="B45" s="18"/>
      <c r="C45" s="31">
        <v>135827.0</v>
      </c>
      <c r="D45" s="18"/>
      <c r="E45" s="18"/>
      <c r="F45" s="18"/>
      <c r="G45" s="18"/>
      <c r="H45" s="18"/>
    </row>
    <row r="46" ht="15.75" customHeight="1">
      <c r="A46" s="18"/>
      <c r="B46" s="18"/>
      <c r="C46" s="31">
        <v>46277.0</v>
      </c>
      <c r="D46" s="18"/>
      <c r="E46" s="18"/>
      <c r="F46" s="18"/>
      <c r="G46" s="18"/>
      <c r="H46" s="18"/>
    </row>
    <row r="47" ht="15.75" customHeight="1">
      <c r="A47" s="31" t="s">
        <v>124</v>
      </c>
      <c r="B47" s="18"/>
      <c r="C47" s="31">
        <v>120000.0</v>
      </c>
      <c r="D47" s="18"/>
      <c r="E47" s="18"/>
      <c r="F47" s="18"/>
      <c r="G47" s="18"/>
      <c r="H47" s="18"/>
    </row>
    <row r="48" ht="15.75" customHeight="1">
      <c r="A48" s="31" t="s">
        <v>125</v>
      </c>
      <c r="B48" s="18"/>
      <c r="C48" s="31">
        <v>73727.0</v>
      </c>
      <c r="D48" s="18"/>
      <c r="E48" s="18"/>
      <c r="F48" s="18"/>
      <c r="G48" s="18"/>
      <c r="H48" s="18"/>
    </row>
    <row r="49" ht="15.75" customHeight="1">
      <c r="A49" s="31" t="s">
        <v>126</v>
      </c>
      <c r="B49" s="18"/>
      <c r="C49" s="31">
        <v>50000.0</v>
      </c>
      <c r="D49" s="18"/>
      <c r="E49" s="18"/>
      <c r="F49" s="18"/>
      <c r="G49" s="18"/>
      <c r="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G$30"/>
  <mergeCells count="1">
    <mergeCell ref="A1:G1"/>
  </mergeCells>
  <conditionalFormatting sqref="D3:D30">
    <cfRule type="containsText" dxfId="0" priority="1" operator="containsText" text="TBD">
      <formula>NOT(ISERROR(SEARCH(("TBD"),(D3))))</formula>
    </cfRule>
  </conditionalFormatting>
  <conditionalFormatting sqref="D3:D30">
    <cfRule type="cellIs" dxfId="1" priority="2" operator="equal">
      <formula>"Completed"</formula>
    </cfRule>
  </conditionalFormatting>
  <dataValidations>
    <dataValidation type="list" allowBlank="1" showErrorMessage="1" sqref="J4">
      <formula1>$J$3:$J$4</formula1>
    </dataValidation>
    <dataValidation type="list" allowBlank="1" showErrorMessage="1" sqref="D3:D30">
      <formula1>$J$3:$J$5</formula1>
    </dataValidation>
    <dataValidation type="list" allowBlank="1" showErrorMessage="1" sqref="J3">
      <formula1>$J$3:$J$5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29.0"/>
    <col customWidth="1" min="3" max="3" width="24.44"/>
    <col customWidth="1" min="4" max="4" width="22.0"/>
    <col customWidth="1" min="5" max="5" width="9.0"/>
    <col customWidth="1" min="6" max="6" width="16.0"/>
    <col customWidth="1" min="7" max="7" width="11.44"/>
    <col customWidth="1" min="8" max="9" width="10.56"/>
    <col customWidth="1" min="10" max="10" width="10.11"/>
    <col customWidth="1" min="11" max="11" width="6.11"/>
    <col customWidth="1" min="12" max="12" width="7.11"/>
    <col customWidth="1" min="13" max="13" width="9.33"/>
    <col customWidth="1" min="14" max="14" width="7.11"/>
    <col customWidth="1" min="15" max="26" width="10.56"/>
  </cols>
  <sheetData>
    <row r="1" ht="39.0" customHeight="1">
      <c r="A1" s="17" t="s">
        <v>69</v>
      </c>
      <c r="B1" s="9"/>
      <c r="C1" s="9"/>
      <c r="D1" s="9"/>
      <c r="E1" s="9"/>
      <c r="F1" s="9"/>
      <c r="G1" s="10"/>
      <c r="H1" s="18"/>
    </row>
    <row r="2" ht="15.75" customHeight="1">
      <c r="A2" s="19" t="s">
        <v>32</v>
      </c>
      <c r="B2" s="19" t="s">
        <v>70</v>
      </c>
      <c r="C2" s="19" t="s">
        <v>71</v>
      </c>
      <c r="D2" s="19" t="s">
        <v>34</v>
      </c>
      <c r="E2" s="20"/>
      <c r="F2" s="19" t="s">
        <v>35</v>
      </c>
      <c r="G2" s="19"/>
      <c r="H2" s="18"/>
    </row>
    <row r="3" ht="15.75" customHeight="1">
      <c r="A3" s="19" t="s">
        <v>36</v>
      </c>
      <c r="B3" s="25">
        <v>16500.0</v>
      </c>
      <c r="C3" s="26">
        <v>16500.0</v>
      </c>
      <c r="D3" s="26" t="s">
        <v>72</v>
      </c>
      <c r="E3" s="20"/>
      <c r="F3" s="19" t="s">
        <v>37</v>
      </c>
      <c r="G3" s="19">
        <f>SUMIF(A:A, "*RD*", C:C)</f>
        <v>369262</v>
      </c>
      <c r="H3" s="18"/>
      <c r="J3" s="2" t="s">
        <v>72</v>
      </c>
    </row>
    <row r="4" ht="15.75" customHeight="1">
      <c r="A4" s="19" t="s">
        <v>38</v>
      </c>
      <c r="B4" s="19">
        <v>2000.0</v>
      </c>
      <c r="C4" s="26">
        <v>2000.0</v>
      </c>
      <c r="D4" s="26" t="s">
        <v>72</v>
      </c>
      <c r="E4" s="20"/>
      <c r="F4" s="19" t="s">
        <v>39</v>
      </c>
      <c r="G4" s="19">
        <f>SUMIF(A:A, "*MF*", C:C)</f>
        <v>8000</v>
      </c>
      <c r="H4" s="18"/>
      <c r="J4" s="30" t="s">
        <v>73</v>
      </c>
    </row>
    <row r="5" ht="15.75" customHeight="1">
      <c r="A5" s="19" t="s">
        <v>40</v>
      </c>
      <c r="B5" s="19">
        <v>16392.0</v>
      </c>
      <c r="C5" s="26">
        <v>0.0</v>
      </c>
      <c r="D5" s="26" t="s">
        <v>73</v>
      </c>
      <c r="E5" s="20"/>
      <c r="F5" s="19" t="s">
        <v>41</v>
      </c>
      <c r="G5" s="19">
        <v>0.0</v>
      </c>
      <c r="H5" s="18"/>
      <c r="J5" s="30" t="s">
        <v>116</v>
      </c>
    </row>
    <row r="6" ht="15.75" customHeight="1">
      <c r="A6" s="19" t="s">
        <v>42</v>
      </c>
      <c r="B6" s="26">
        <v>4000.0</v>
      </c>
      <c r="C6" s="26">
        <v>4500.0</v>
      </c>
      <c r="D6" s="26" t="s">
        <v>72</v>
      </c>
      <c r="E6" s="20"/>
      <c r="F6" s="19"/>
      <c r="G6" s="19"/>
      <c r="H6" s="18"/>
    </row>
    <row r="7" ht="15.75" customHeight="1">
      <c r="A7" s="19" t="s">
        <v>43</v>
      </c>
      <c r="B7" s="19">
        <v>945.0</v>
      </c>
      <c r="C7" s="26">
        <v>0.0</v>
      </c>
      <c r="D7" s="26" t="s">
        <v>72</v>
      </c>
      <c r="E7" s="20"/>
      <c r="F7" s="19" t="s">
        <v>44</v>
      </c>
      <c r="G7" s="19">
        <f>SUM(G3:G5)</f>
        <v>377262</v>
      </c>
      <c r="H7" s="18"/>
    </row>
    <row r="8" ht="15.75" customHeight="1">
      <c r="A8" s="19" t="s">
        <v>45</v>
      </c>
      <c r="B8" s="19">
        <v>5000.0</v>
      </c>
      <c r="C8" s="26">
        <v>5000.0</v>
      </c>
      <c r="D8" s="26" t="s">
        <v>72</v>
      </c>
      <c r="E8" s="20"/>
      <c r="F8" s="20"/>
      <c r="G8" s="20"/>
      <c r="H8" s="18"/>
    </row>
    <row r="9" ht="15.75" customHeight="1">
      <c r="A9" s="19" t="s">
        <v>46</v>
      </c>
      <c r="B9" s="19">
        <v>5000.0</v>
      </c>
      <c r="C9" s="26">
        <v>5000.0</v>
      </c>
      <c r="D9" s="26" t="s">
        <v>72</v>
      </c>
      <c r="E9" s="20"/>
      <c r="F9" s="20"/>
      <c r="G9" s="20"/>
      <c r="H9" s="18"/>
    </row>
    <row r="10" ht="15.75" customHeight="1">
      <c r="A10" s="19" t="s">
        <v>47</v>
      </c>
      <c r="B10" s="25">
        <v>2062.0</v>
      </c>
      <c r="C10" s="26">
        <v>0.0</v>
      </c>
      <c r="D10" s="26" t="s">
        <v>73</v>
      </c>
      <c r="E10" s="20"/>
      <c r="F10" s="19" t="s">
        <v>48</v>
      </c>
      <c r="G10" s="19">
        <v>25204.0</v>
      </c>
      <c r="H10" s="18"/>
    </row>
    <row r="11" ht="15.75" customHeight="1">
      <c r="A11" s="19" t="s">
        <v>49</v>
      </c>
      <c r="B11" s="19">
        <v>5267.0</v>
      </c>
      <c r="C11" s="26">
        <v>0.0</v>
      </c>
      <c r="D11" s="26" t="s">
        <v>72</v>
      </c>
      <c r="E11" s="20"/>
      <c r="F11" s="19" t="s">
        <v>50</v>
      </c>
      <c r="G11" s="19">
        <v>12500.0</v>
      </c>
      <c r="H11" s="18"/>
    </row>
    <row r="12" ht="15.75" customHeight="1">
      <c r="A12" s="19" t="s">
        <v>51</v>
      </c>
      <c r="B12" s="26">
        <v>3251.0</v>
      </c>
      <c r="C12" s="26">
        <v>0.0</v>
      </c>
      <c r="D12" s="26" t="s">
        <v>73</v>
      </c>
      <c r="E12" s="20"/>
      <c r="F12" s="19"/>
      <c r="G12" s="19"/>
      <c r="H12" s="18"/>
    </row>
    <row r="13" ht="15.75" customHeight="1">
      <c r="A13" s="19" t="s">
        <v>52</v>
      </c>
      <c r="B13" s="19">
        <v>3000.0</v>
      </c>
      <c r="C13" s="26">
        <v>3000.0</v>
      </c>
      <c r="D13" s="26" t="s">
        <v>72</v>
      </c>
      <c r="E13" s="20"/>
      <c r="F13" s="19" t="s">
        <v>44</v>
      </c>
      <c r="G13" s="19">
        <f>SUM(G10:G11)</f>
        <v>37704</v>
      </c>
      <c r="H13" s="18"/>
      <c r="M13" s="2" t="s">
        <v>103</v>
      </c>
      <c r="N13" s="2">
        <v>70000.0</v>
      </c>
    </row>
    <row r="14" ht="15.75" customHeight="1">
      <c r="A14" s="19" t="s">
        <v>53</v>
      </c>
      <c r="B14" s="19">
        <v>5000.0</v>
      </c>
      <c r="C14" s="26">
        <v>5000.0</v>
      </c>
      <c r="D14" s="26" t="s">
        <v>72</v>
      </c>
      <c r="E14" s="20"/>
      <c r="F14" s="20"/>
      <c r="G14" s="20"/>
      <c r="H14" s="18"/>
      <c r="M14" s="2" t="s">
        <v>37</v>
      </c>
      <c r="N14" s="7">
        <v>112000.0</v>
      </c>
    </row>
    <row r="15" ht="15.75" customHeight="1">
      <c r="A15" s="19" t="s">
        <v>54</v>
      </c>
      <c r="B15" s="26">
        <v>14000.0</v>
      </c>
      <c r="C15" s="26">
        <v>9000.0</v>
      </c>
      <c r="D15" s="26" t="s">
        <v>72</v>
      </c>
      <c r="E15" s="20"/>
      <c r="F15" s="20"/>
      <c r="G15" s="20"/>
      <c r="H15" s="18"/>
      <c r="M15" s="2" t="s">
        <v>104</v>
      </c>
      <c r="N15" s="2">
        <v>200000.0</v>
      </c>
    </row>
    <row r="16" ht="15.75" customHeight="1">
      <c r="A16" s="19" t="s">
        <v>55</v>
      </c>
      <c r="B16" s="19">
        <v>5000.0</v>
      </c>
      <c r="C16" s="26">
        <v>10000.0</v>
      </c>
      <c r="D16" s="26" t="s">
        <v>73</v>
      </c>
      <c r="E16" s="20"/>
      <c r="F16" s="20"/>
      <c r="G16" s="20"/>
      <c r="H16" s="18"/>
      <c r="M16" s="2" t="s">
        <v>91</v>
      </c>
      <c r="N16" s="7">
        <v>97527.0</v>
      </c>
    </row>
    <row r="17" ht="15.75" customHeight="1">
      <c r="A17" s="26" t="s">
        <v>117</v>
      </c>
      <c r="B17" s="26">
        <v>2318.0</v>
      </c>
      <c r="C17" s="26">
        <v>1642.0</v>
      </c>
      <c r="D17" s="26" t="s">
        <v>116</v>
      </c>
      <c r="E17" s="20"/>
      <c r="F17" s="19" t="s">
        <v>20</v>
      </c>
      <c r="G17" s="19">
        <f>SUMIF(F:F, "*Sub Total*", G:G)</f>
        <v>414966</v>
      </c>
      <c r="H17" s="18"/>
      <c r="N17" s="2">
        <v>0.0</v>
      </c>
    </row>
    <row r="18" ht="15.75" customHeight="1">
      <c r="A18" s="19" t="s">
        <v>57</v>
      </c>
      <c r="B18" s="26">
        <v>372.0</v>
      </c>
      <c r="C18" s="26">
        <v>0.0</v>
      </c>
      <c r="D18" s="26" t="s">
        <v>73</v>
      </c>
      <c r="E18" s="20"/>
      <c r="F18" s="20"/>
      <c r="G18" s="20"/>
      <c r="H18" s="18"/>
      <c r="N18" s="2">
        <v>0.0</v>
      </c>
    </row>
    <row r="19" ht="15.75" customHeight="1">
      <c r="A19" s="19" t="s">
        <v>58</v>
      </c>
      <c r="B19" s="19">
        <v>2000.0</v>
      </c>
      <c r="C19" s="26">
        <v>0.0</v>
      </c>
      <c r="D19" s="26" t="s">
        <v>73</v>
      </c>
      <c r="E19" s="20"/>
      <c r="F19" s="20"/>
      <c r="G19" s="20"/>
      <c r="H19" s="18"/>
      <c r="N19" s="2">
        <v>0.0</v>
      </c>
    </row>
    <row r="20" ht="15.75" customHeight="1">
      <c r="A20" s="19" t="s">
        <v>59</v>
      </c>
      <c r="B20" s="19">
        <v>2000.0</v>
      </c>
      <c r="C20" s="26">
        <v>0.0</v>
      </c>
      <c r="D20" s="26" t="s">
        <v>73</v>
      </c>
      <c r="E20" s="20"/>
      <c r="F20" s="20"/>
      <c r="G20" s="20"/>
      <c r="H20" s="18"/>
      <c r="M20" s="2" t="s">
        <v>105</v>
      </c>
      <c r="N20" s="2">
        <f>SUM(N13:N19)</f>
        <v>479527</v>
      </c>
    </row>
    <row r="21" ht="15.75" customHeight="1">
      <c r="A21" s="19" t="s">
        <v>131</v>
      </c>
      <c r="B21" s="19">
        <v>5000.0</v>
      </c>
      <c r="C21" s="26">
        <v>0.0</v>
      </c>
      <c r="D21" s="26" t="s">
        <v>73</v>
      </c>
      <c r="E21" s="20"/>
      <c r="F21" s="20"/>
      <c r="G21" s="20"/>
      <c r="H21" s="18"/>
    </row>
    <row r="22" ht="15.75" customHeight="1">
      <c r="A22" s="19" t="s">
        <v>132</v>
      </c>
      <c r="B22" s="19">
        <v>5000.0</v>
      </c>
      <c r="C22" s="26">
        <v>0.0</v>
      </c>
      <c r="D22" s="26" t="s">
        <v>73</v>
      </c>
      <c r="E22" s="20"/>
      <c r="F22" s="20"/>
      <c r="G22" s="20"/>
      <c r="H22" s="18"/>
    </row>
    <row r="23" ht="15.75" customHeight="1">
      <c r="A23" s="19" t="s">
        <v>87</v>
      </c>
      <c r="B23" s="26">
        <v>4366.0</v>
      </c>
      <c r="C23" s="26">
        <v>1000.0</v>
      </c>
      <c r="D23" s="26" t="s">
        <v>73</v>
      </c>
      <c r="E23" s="20"/>
      <c r="F23" s="20"/>
      <c r="G23" s="20"/>
      <c r="H23" s="18"/>
    </row>
    <row r="24" ht="15.75" customHeight="1">
      <c r="A24" s="19" t="s">
        <v>89</v>
      </c>
      <c r="B24" s="26">
        <v>1500.0</v>
      </c>
      <c r="C24" s="26">
        <v>0.0</v>
      </c>
      <c r="D24" s="26" t="s">
        <v>73</v>
      </c>
      <c r="E24" s="20"/>
      <c r="F24" s="20"/>
      <c r="G24" s="20"/>
      <c r="H24" s="18"/>
    </row>
    <row r="25" ht="15.75" customHeight="1">
      <c r="A25" s="19" t="s">
        <v>91</v>
      </c>
      <c r="B25" s="25">
        <v>2100.0</v>
      </c>
      <c r="C25" s="26">
        <v>0.0</v>
      </c>
      <c r="D25" s="26" t="s">
        <v>73</v>
      </c>
      <c r="E25" s="20"/>
      <c r="F25" s="20"/>
      <c r="G25" s="20"/>
      <c r="H25" s="18"/>
    </row>
    <row r="26" ht="15.75" customHeight="1">
      <c r="A26" s="19" t="s">
        <v>92</v>
      </c>
      <c r="B26" s="26">
        <v>3500.0</v>
      </c>
      <c r="C26" s="26">
        <v>0.0</v>
      </c>
      <c r="D26" s="26" t="s">
        <v>73</v>
      </c>
      <c r="E26" s="20"/>
      <c r="F26" s="20"/>
      <c r="G26" s="20"/>
      <c r="H26" s="18"/>
    </row>
    <row r="27" ht="15.75" customHeight="1">
      <c r="A27" s="19" t="s">
        <v>98</v>
      </c>
      <c r="B27" s="25">
        <v>1500.0</v>
      </c>
      <c r="C27" s="26">
        <v>4562.0</v>
      </c>
      <c r="D27" s="26" t="s">
        <v>72</v>
      </c>
      <c r="E27" s="20"/>
      <c r="F27" s="20"/>
      <c r="G27" s="19">
        <v>3000.0</v>
      </c>
      <c r="H27" s="18"/>
      <c r="I27" s="2">
        <v>2000.0</v>
      </c>
    </row>
    <row r="28" ht="15.75" customHeight="1">
      <c r="A28" s="19" t="s">
        <v>100</v>
      </c>
      <c r="B28" s="26">
        <v>0.0</v>
      </c>
      <c r="C28" s="26">
        <v>0.0</v>
      </c>
      <c r="D28" s="26" t="s">
        <v>73</v>
      </c>
      <c r="E28" s="20"/>
      <c r="F28" s="20"/>
      <c r="G28" s="19">
        <v>5315.0</v>
      </c>
      <c r="H28" s="18"/>
    </row>
    <row r="29" ht="15.75" customHeight="1">
      <c r="A29" s="21" t="s">
        <v>111</v>
      </c>
      <c r="B29" s="28">
        <v>5000.0</v>
      </c>
      <c r="C29" s="26">
        <v>0.0</v>
      </c>
      <c r="D29" s="26" t="s">
        <v>73</v>
      </c>
      <c r="E29" s="18"/>
      <c r="F29" s="18"/>
      <c r="G29" s="19">
        <v>4661.0</v>
      </c>
      <c r="H29" s="18"/>
    </row>
    <row r="30" ht="15.75" customHeight="1">
      <c r="A30" s="28" t="s">
        <v>120</v>
      </c>
      <c r="B30" s="28">
        <v>7000.0</v>
      </c>
      <c r="C30" s="26">
        <v>0.0</v>
      </c>
      <c r="D30" s="26" t="s">
        <v>72</v>
      </c>
      <c r="E30" s="18"/>
      <c r="F30" s="18"/>
      <c r="G30" s="18"/>
      <c r="H30" s="18"/>
    </row>
    <row r="31" ht="15.75" customHeight="1">
      <c r="A31" s="21"/>
      <c r="B31" s="21"/>
      <c r="C31" s="21"/>
      <c r="D31" s="21"/>
      <c r="E31" s="18"/>
      <c r="F31" s="18"/>
      <c r="G31" s="18"/>
      <c r="H31" s="18"/>
    </row>
    <row r="32" ht="15.75" customHeight="1">
      <c r="A32" s="21"/>
      <c r="B32" s="21"/>
      <c r="C32" s="21"/>
      <c r="D32" s="21"/>
      <c r="E32" s="18"/>
      <c r="F32" s="18"/>
      <c r="G32" s="18"/>
      <c r="H32" s="18"/>
    </row>
    <row r="33" ht="15.75" customHeight="1">
      <c r="A33" s="21"/>
      <c r="B33" s="21"/>
      <c r="C33" s="21"/>
      <c r="D33" s="21"/>
      <c r="E33" s="18"/>
      <c r="F33" s="18"/>
      <c r="G33" s="18"/>
      <c r="H33" s="18"/>
    </row>
    <row r="34" ht="15.75" customHeight="1">
      <c r="A34" s="21" t="s">
        <v>101</v>
      </c>
      <c r="B34" s="21">
        <f>SUM(B3:B33)</f>
        <v>129073</v>
      </c>
      <c r="C34" s="21"/>
      <c r="D34" s="21"/>
      <c r="E34" s="18"/>
      <c r="F34" s="18"/>
      <c r="G34" s="18"/>
      <c r="H34" s="18"/>
    </row>
    <row r="35" ht="15.75" customHeight="1">
      <c r="A35" s="21" t="s">
        <v>102</v>
      </c>
      <c r="C35" s="21">
        <f>SUM(C3:C33)</f>
        <v>67204</v>
      </c>
      <c r="D35" s="21"/>
      <c r="E35" s="18"/>
      <c r="F35" s="18"/>
      <c r="G35" s="18"/>
      <c r="H35" s="18"/>
    </row>
    <row r="36" ht="15.75" customHeight="1">
      <c r="A36" s="21"/>
      <c r="B36" s="21"/>
      <c r="C36" s="21"/>
      <c r="D36" s="21"/>
      <c r="E36" s="18"/>
      <c r="F36" s="18"/>
      <c r="G36" s="18"/>
      <c r="H36" s="18"/>
      <c r="K36" s="2">
        <v>42000.0</v>
      </c>
    </row>
    <row r="37" ht="15.75" customHeight="1">
      <c r="A37" s="21" t="s">
        <v>67</v>
      </c>
      <c r="B37" s="21"/>
      <c r="C37" s="21"/>
      <c r="D37" s="29">
        <v>145399.0</v>
      </c>
      <c r="E37" s="18"/>
      <c r="F37" s="18"/>
      <c r="G37" s="18"/>
      <c r="H37" s="18"/>
    </row>
    <row r="38" ht="15.75" customHeight="1">
      <c r="A38" s="21"/>
      <c r="B38" s="21"/>
      <c r="C38" s="21"/>
      <c r="D38" s="21"/>
      <c r="E38" s="18"/>
      <c r="F38" s="18"/>
      <c r="G38" s="18"/>
      <c r="H38" s="18"/>
    </row>
    <row r="39" ht="15.75" customHeight="1">
      <c r="A39" s="21" t="s">
        <v>68</v>
      </c>
      <c r="B39" s="22">
        <f>D37-B34</f>
        <v>16326</v>
      </c>
      <c r="C39" s="22">
        <f>D37-C35</f>
        <v>78195</v>
      </c>
      <c r="D39" s="22"/>
      <c r="E39" s="18"/>
      <c r="F39" s="18"/>
      <c r="G39" s="18"/>
      <c r="H39" s="18"/>
    </row>
    <row r="40" ht="15.75" customHeight="1">
      <c r="A40" s="18"/>
      <c r="B40" s="18"/>
      <c r="C40" s="18"/>
      <c r="D40" s="18"/>
      <c r="E40" s="18"/>
      <c r="F40" s="23"/>
      <c r="G40" s="18"/>
      <c r="H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</row>
    <row r="43" ht="15.75" customHeight="1">
      <c r="A43" s="31" t="s">
        <v>121</v>
      </c>
      <c r="B43" s="18"/>
      <c r="C43" s="31">
        <v>55158.0</v>
      </c>
      <c r="D43" s="18"/>
      <c r="E43" s="18"/>
      <c r="F43" s="18"/>
      <c r="G43" s="18"/>
      <c r="H43" s="18"/>
    </row>
    <row r="44" ht="15.75" customHeight="1">
      <c r="A44" s="31" t="s">
        <v>122</v>
      </c>
      <c r="B44" s="18"/>
      <c r="C44" s="31">
        <v>182104.0</v>
      </c>
      <c r="D44" s="18"/>
      <c r="E44" s="18"/>
      <c r="F44" s="18"/>
      <c r="G44" s="18"/>
      <c r="H44" s="18"/>
    </row>
    <row r="45" ht="15.75" customHeight="1">
      <c r="A45" s="31" t="s">
        <v>123</v>
      </c>
      <c r="B45" s="18"/>
      <c r="C45" s="31">
        <v>135827.0</v>
      </c>
      <c r="D45" s="18"/>
      <c r="E45" s="18"/>
      <c r="F45" s="18"/>
      <c r="G45" s="18"/>
      <c r="H45" s="18"/>
    </row>
    <row r="46" ht="15.75" customHeight="1">
      <c r="A46" s="18"/>
      <c r="B46" s="18"/>
      <c r="C46" s="31">
        <v>46277.0</v>
      </c>
      <c r="D46" s="18"/>
      <c r="E46" s="18"/>
      <c r="F46" s="18"/>
      <c r="G46" s="18"/>
      <c r="H46" s="18"/>
    </row>
    <row r="47" ht="15.75" customHeight="1">
      <c r="A47" s="31" t="s">
        <v>124</v>
      </c>
      <c r="B47" s="18"/>
      <c r="C47" s="31">
        <v>120000.0</v>
      </c>
      <c r="D47" s="18"/>
      <c r="E47" s="18"/>
      <c r="F47" s="18"/>
      <c r="G47" s="18"/>
      <c r="H47" s="18"/>
    </row>
    <row r="48" ht="15.75" customHeight="1">
      <c r="A48" s="31" t="s">
        <v>125</v>
      </c>
      <c r="B48" s="18"/>
      <c r="C48" s="31">
        <v>73727.0</v>
      </c>
      <c r="D48" s="18"/>
      <c r="E48" s="18"/>
      <c r="F48" s="18"/>
      <c r="G48" s="18"/>
      <c r="H48" s="18"/>
    </row>
    <row r="49" ht="15.75" customHeight="1">
      <c r="A49" s="31" t="s">
        <v>126</v>
      </c>
      <c r="B49" s="18"/>
      <c r="C49" s="31">
        <v>50000.0</v>
      </c>
      <c r="D49" s="18"/>
      <c r="E49" s="18"/>
      <c r="F49" s="18"/>
      <c r="G49" s="18"/>
      <c r="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G$30"/>
  <mergeCells count="1">
    <mergeCell ref="A1:G1"/>
  </mergeCells>
  <conditionalFormatting sqref="D3:D30">
    <cfRule type="containsText" dxfId="0" priority="1" operator="containsText" text="TBD">
      <formula>NOT(ISERROR(SEARCH(("TBD"),(D3))))</formula>
    </cfRule>
  </conditionalFormatting>
  <conditionalFormatting sqref="D3:D30">
    <cfRule type="cellIs" dxfId="1" priority="2" operator="equal">
      <formula>"Completed"</formula>
    </cfRule>
  </conditionalFormatting>
  <dataValidations>
    <dataValidation type="list" allowBlank="1" showErrorMessage="1" sqref="J4">
      <formula1>$J$3:$J$4</formula1>
    </dataValidation>
    <dataValidation type="list" allowBlank="1" showErrorMessage="1" sqref="D3:D30">
      <formula1>$J$3:$J$5</formula1>
    </dataValidation>
    <dataValidation type="list" allowBlank="1" showErrorMessage="1" sqref="J3">
      <formula1>$J$3:$J$5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29.0"/>
    <col customWidth="1" min="3" max="3" width="24.44"/>
    <col customWidth="1" min="4" max="4" width="22.0"/>
    <col customWidth="1" min="5" max="5" width="9.0"/>
    <col customWidth="1" min="6" max="6" width="16.0"/>
    <col customWidth="1" min="7" max="7" width="11.44"/>
    <col customWidth="1" min="8" max="9" width="10.56"/>
    <col customWidth="1" min="10" max="10" width="10.11"/>
    <col customWidth="1" min="11" max="11" width="6.11"/>
    <col customWidth="1" min="12" max="12" width="7.11"/>
    <col customWidth="1" min="13" max="13" width="9.33"/>
    <col customWidth="1" min="14" max="14" width="7.11"/>
    <col customWidth="1" min="15" max="26" width="10.56"/>
  </cols>
  <sheetData>
    <row r="1" ht="39.0" customHeight="1">
      <c r="A1" s="17" t="s">
        <v>69</v>
      </c>
      <c r="B1" s="9"/>
      <c r="C1" s="9"/>
      <c r="D1" s="9"/>
      <c r="E1" s="9"/>
      <c r="F1" s="9"/>
      <c r="G1" s="10"/>
      <c r="H1" s="18"/>
    </row>
    <row r="2" ht="15.75" customHeight="1">
      <c r="A2" s="19" t="s">
        <v>32</v>
      </c>
      <c r="B2" s="19" t="s">
        <v>70</v>
      </c>
      <c r="C2" s="19" t="s">
        <v>71</v>
      </c>
      <c r="D2" s="19" t="s">
        <v>34</v>
      </c>
      <c r="E2" s="20"/>
      <c r="F2" s="19" t="s">
        <v>35</v>
      </c>
      <c r="G2" s="19"/>
      <c r="H2" s="18"/>
    </row>
    <row r="3" ht="15.75" customHeight="1">
      <c r="A3" s="19" t="s">
        <v>36</v>
      </c>
      <c r="B3" s="25">
        <v>16500.0</v>
      </c>
      <c r="C3" s="26">
        <v>16500.0</v>
      </c>
      <c r="D3" s="26" t="s">
        <v>72</v>
      </c>
      <c r="E3" s="20"/>
      <c r="F3" s="19" t="s">
        <v>37</v>
      </c>
      <c r="G3" s="19">
        <f>SUMIF(A:A, "*RD*", C:C)</f>
        <v>374262</v>
      </c>
      <c r="H3" s="18"/>
      <c r="J3" s="2" t="s">
        <v>72</v>
      </c>
    </row>
    <row r="4" ht="15.75" customHeight="1">
      <c r="A4" s="19" t="s">
        <v>38</v>
      </c>
      <c r="B4" s="19">
        <v>2000.0</v>
      </c>
      <c r="C4" s="26">
        <v>2000.0</v>
      </c>
      <c r="D4" s="26" t="s">
        <v>72</v>
      </c>
      <c r="E4" s="20"/>
      <c r="F4" s="19" t="s">
        <v>39</v>
      </c>
      <c r="G4" s="19">
        <f>SUMIF(A:A, "*MF*", C:C)</f>
        <v>8000</v>
      </c>
      <c r="H4" s="18"/>
      <c r="J4" s="30" t="s">
        <v>73</v>
      </c>
    </row>
    <row r="5" ht="15.75" customHeight="1">
      <c r="A5" s="19" t="s">
        <v>40</v>
      </c>
      <c r="B5" s="19">
        <v>16392.0</v>
      </c>
      <c r="C5" s="26">
        <v>0.0</v>
      </c>
      <c r="D5" s="26" t="s">
        <v>73</v>
      </c>
      <c r="E5" s="20"/>
      <c r="F5" s="19" t="s">
        <v>41</v>
      </c>
      <c r="G5" s="19">
        <v>0.0</v>
      </c>
      <c r="H5" s="18"/>
      <c r="J5" s="30" t="s">
        <v>116</v>
      </c>
    </row>
    <row r="6" ht="15.75" customHeight="1">
      <c r="A6" s="19" t="s">
        <v>42</v>
      </c>
      <c r="B6" s="26">
        <v>4000.0</v>
      </c>
      <c r="C6" s="26">
        <v>4000.0</v>
      </c>
      <c r="D6" s="26" t="s">
        <v>72</v>
      </c>
      <c r="E6" s="20"/>
      <c r="F6" s="19"/>
      <c r="G6" s="19"/>
      <c r="H6" s="18"/>
    </row>
    <row r="7" ht="15.75" customHeight="1">
      <c r="A7" s="19" t="s">
        <v>43</v>
      </c>
      <c r="B7" s="19">
        <v>945.0</v>
      </c>
      <c r="C7" s="26">
        <v>0.0</v>
      </c>
      <c r="D7" s="26" t="s">
        <v>73</v>
      </c>
      <c r="E7" s="20"/>
      <c r="F7" s="19" t="s">
        <v>44</v>
      </c>
      <c r="G7" s="19">
        <f>SUM(G3:G5)</f>
        <v>382262</v>
      </c>
      <c r="H7" s="18"/>
    </row>
    <row r="8" ht="15.75" customHeight="1">
      <c r="A8" s="19" t="s">
        <v>45</v>
      </c>
      <c r="B8" s="19">
        <v>5000.0</v>
      </c>
      <c r="C8" s="26">
        <v>5000.0</v>
      </c>
      <c r="D8" s="26" t="s">
        <v>72</v>
      </c>
      <c r="E8" s="20"/>
      <c r="F8" s="20"/>
      <c r="G8" s="20"/>
      <c r="H8" s="18"/>
    </row>
    <row r="9" ht="15.75" customHeight="1">
      <c r="A9" s="19" t="s">
        <v>46</v>
      </c>
      <c r="B9" s="19">
        <v>5000.0</v>
      </c>
      <c r="C9" s="26">
        <v>5000.0</v>
      </c>
      <c r="D9" s="26" t="s">
        <v>72</v>
      </c>
      <c r="E9" s="20"/>
      <c r="F9" s="20"/>
      <c r="G9" s="20"/>
      <c r="H9" s="18"/>
    </row>
    <row r="10" ht="15.75" customHeight="1">
      <c r="A10" s="19" t="s">
        <v>47</v>
      </c>
      <c r="B10" s="25">
        <v>2062.0</v>
      </c>
      <c r="C10" s="26">
        <v>0.0</v>
      </c>
      <c r="D10" s="26" t="s">
        <v>73</v>
      </c>
      <c r="E10" s="20"/>
      <c r="F10" s="19" t="s">
        <v>48</v>
      </c>
      <c r="G10" s="19">
        <v>25204.0</v>
      </c>
      <c r="H10" s="18"/>
    </row>
    <row r="11" ht="15.75" customHeight="1">
      <c r="A11" s="19" t="s">
        <v>49</v>
      </c>
      <c r="B11" s="19">
        <v>5267.0</v>
      </c>
      <c r="C11" s="26">
        <v>0.0</v>
      </c>
      <c r="D11" s="26" t="s">
        <v>73</v>
      </c>
      <c r="E11" s="20"/>
      <c r="F11" s="19" t="s">
        <v>50</v>
      </c>
      <c r="G11" s="19">
        <v>12500.0</v>
      </c>
      <c r="H11" s="18"/>
    </row>
    <row r="12" ht="15.75" customHeight="1">
      <c r="A12" s="19" t="s">
        <v>51</v>
      </c>
      <c r="B12" s="26">
        <v>3251.0</v>
      </c>
      <c r="C12" s="26">
        <v>0.0</v>
      </c>
      <c r="D12" s="26" t="s">
        <v>73</v>
      </c>
      <c r="E12" s="20"/>
      <c r="F12" s="19"/>
      <c r="G12" s="19"/>
      <c r="H12" s="18"/>
    </row>
    <row r="13" ht="15.75" customHeight="1">
      <c r="A13" s="19" t="s">
        <v>52</v>
      </c>
      <c r="B13" s="19">
        <v>3000.0</v>
      </c>
      <c r="C13" s="26">
        <v>3000.0</v>
      </c>
      <c r="D13" s="26" t="s">
        <v>73</v>
      </c>
      <c r="E13" s="20"/>
      <c r="F13" s="19" t="s">
        <v>44</v>
      </c>
      <c r="G13" s="19">
        <f>SUM(G10:G11)</f>
        <v>37704</v>
      </c>
      <c r="H13" s="18"/>
      <c r="M13" s="2" t="s">
        <v>103</v>
      </c>
      <c r="N13" s="2">
        <v>70000.0</v>
      </c>
    </row>
    <row r="14" ht="15.75" customHeight="1">
      <c r="A14" s="19" t="s">
        <v>53</v>
      </c>
      <c r="B14" s="19">
        <v>5000.0</v>
      </c>
      <c r="C14" s="26">
        <v>5000.0</v>
      </c>
      <c r="D14" s="26" t="s">
        <v>73</v>
      </c>
      <c r="E14" s="20"/>
      <c r="F14" s="20"/>
      <c r="G14" s="20"/>
      <c r="H14" s="18"/>
      <c r="M14" s="2" t="s">
        <v>37</v>
      </c>
      <c r="N14" s="7">
        <v>112000.0</v>
      </c>
    </row>
    <row r="15" ht="15.75" customHeight="1">
      <c r="A15" s="19" t="s">
        <v>54</v>
      </c>
      <c r="B15" s="26">
        <v>9000.0</v>
      </c>
      <c r="C15" s="26">
        <v>10000.0</v>
      </c>
      <c r="D15" s="26" t="s">
        <v>72</v>
      </c>
      <c r="E15" s="20"/>
      <c r="F15" s="20"/>
      <c r="G15" s="20"/>
      <c r="H15" s="18"/>
      <c r="M15" s="2" t="s">
        <v>104</v>
      </c>
      <c r="N15" s="2">
        <v>200000.0</v>
      </c>
    </row>
    <row r="16" ht="15.75" customHeight="1">
      <c r="A16" s="19" t="s">
        <v>55</v>
      </c>
      <c r="B16" s="19">
        <v>5000.0</v>
      </c>
      <c r="C16" s="26">
        <v>5000.0</v>
      </c>
      <c r="D16" s="26" t="s">
        <v>72</v>
      </c>
      <c r="E16" s="20"/>
      <c r="F16" s="20"/>
      <c r="G16" s="20"/>
      <c r="H16" s="18"/>
      <c r="M16" s="2" t="s">
        <v>91</v>
      </c>
      <c r="N16" s="7">
        <v>97527.0</v>
      </c>
    </row>
    <row r="17" ht="15.75" customHeight="1">
      <c r="A17" s="26" t="s">
        <v>117</v>
      </c>
      <c r="B17" s="26">
        <v>2318.0</v>
      </c>
      <c r="C17" s="26">
        <v>1642.0</v>
      </c>
      <c r="D17" s="26" t="s">
        <v>73</v>
      </c>
      <c r="E17" s="20"/>
      <c r="F17" s="19" t="s">
        <v>20</v>
      </c>
      <c r="G17" s="19">
        <f>SUMIF(F:F, "*Sub Total*", G:G)</f>
        <v>419966</v>
      </c>
      <c r="H17" s="18"/>
      <c r="N17" s="2">
        <v>0.0</v>
      </c>
    </row>
    <row r="18" ht="15.75" customHeight="1">
      <c r="A18" s="19" t="s">
        <v>57</v>
      </c>
      <c r="B18" s="26">
        <v>372.0</v>
      </c>
      <c r="C18" s="26">
        <v>0.0</v>
      </c>
      <c r="D18" s="26" t="s">
        <v>73</v>
      </c>
      <c r="E18" s="20"/>
      <c r="F18" s="20"/>
      <c r="G18" s="20"/>
      <c r="H18" s="18"/>
      <c r="N18" s="2">
        <v>0.0</v>
      </c>
    </row>
    <row r="19" ht="15.75" customHeight="1">
      <c r="A19" s="19" t="s">
        <v>58</v>
      </c>
      <c r="B19" s="19">
        <v>2000.0</v>
      </c>
      <c r="C19" s="26">
        <v>0.0</v>
      </c>
      <c r="D19" s="26" t="s">
        <v>73</v>
      </c>
      <c r="E19" s="20"/>
      <c r="F19" s="20"/>
      <c r="G19" s="20"/>
      <c r="H19" s="18"/>
      <c r="N19" s="2">
        <v>0.0</v>
      </c>
    </row>
    <row r="20" ht="15.75" customHeight="1">
      <c r="A20" s="19" t="s">
        <v>59</v>
      </c>
      <c r="B20" s="19">
        <v>2000.0</v>
      </c>
      <c r="C20" s="26">
        <v>0.0</v>
      </c>
      <c r="D20" s="26" t="s">
        <v>73</v>
      </c>
      <c r="E20" s="20"/>
      <c r="F20" s="20"/>
      <c r="G20" s="20"/>
      <c r="H20" s="18"/>
      <c r="M20" s="2" t="s">
        <v>105</v>
      </c>
      <c r="N20" s="2">
        <f>SUM(N13:N19)</f>
        <v>479527</v>
      </c>
    </row>
    <row r="21" ht="15.75" customHeight="1">
      <c r="A21" s="19" t="s">
        <v>133</v>
      </c>
      <c r="B21" s="19">
        <v>5000.0</v>
      </c>
      <c r="C21" s="26">
        <v>5000.0</v>
      </c>
      <c r="D21" s="26" t="s">
        <v>72</v>
      </c>
      <c r="E21" s="20"/>
      <c r="F21" s="20"/>
      <c r="G21" s="20"/>
      <c r="H21" s="18"/>
    </row>
    <row r="22" ht="15.75" customHeight="1">
      <c r="A22" s="19" t="s">
        <v>134</v>
      </c>
      <c r="B22" s="19">
        <v>5000.0</v>
      </c>
      <c r="C22" s="26">
        <v>0.0</v>
      </c>
      <c r="D22" s="26" t="s">
        <v>73</v>
      </c>
      <c r="E22" s="20"/>
      <c r="F22" s="20"/>
      <c r="G22" s="20"/>
      <c r="H22" s="18"/>
    </row>
    <row r="23" ht="15.75" customHeight="1">
      <c r="A23" s="19" t="s">
        <v>87</v>
      </c>
      <c r="B23" s="26">
        <v>4366.0</v>
      </c>
      <c r="C23" s="26">
        <v>1000.0</v>
      </c>
      <c r="D23" s="26" t="s">
        <v>73</v>
      </c>
      <c r="E23" s="20"/>
      <c r="F23" s="20"/>
      <c r="G23" s="20"/>
      <c r="H23" s="18"/>
    </row>
    <row r="24" ht="15.75" customHeight="1">
      <c r="A24" s="19" t="s">
        <v>89</v>
      </c>
      <c r="B24" s="26">
        <v>1500.0</v>
      </c>
      <c r="C24" s="26">
        <v>0.0</v>
      </c>
      <c r="D24" s="26" t="s">
        <v>73</v>
      </c>
      <c r="E24" s="20"/>
      <c r="F24" s="20"/>
      <c r="G24" s="20"/>
      <c r="H24" s="18"/>
    </row>
    <row r="25" ht="15.75" customHeight="1">
      <c r="A25" s="19" t="s">
        <v>91</v>
      </c>
      <c r="B25" s="25">
        <v>2100.0</v>
      </c>
      <c r="C25" s="26">
        <v>2000.0</v>
      </c>
      <c r="D25" s="26" t="s">
        <v>72</v>
      </c>
      <c r="E25" s="20"/>
      <c r="F25" s="20"/>
      <c r="G25" s="20"/>
      <c r="H25" s="18"/>
    </row>
    <row r="26" ht="15.75" customHeight="1">
      <c r="A26" s="19" t="s">
        <v>92</v>
      </c>
      <c r="B26" s="26">
        <v>3500.0</v>
      </c>
      <c r="C26" s="26">
        <v>0.0</v>
      </c>
      <c r="D26" s="26" t="s">
        <v>73</v>
      </c>
      <c r="E26" s="20"/>
      <c r="F26" s="20"/>
      <c r="G26" s="20"/>
      <c r="H26" s="18"/>
    </row>
    <row r="27" ht="15.75" customHeight="1">
      <c r="A27" s="19" t="s">
        <v>98</v>
      </c>
      <c r="B27" s="25">
        <v>1500.0</v>
      </c>
      <c r="C27" s="26">
        <v>4562.0</v>
      </c>
      <c r="D27" s="26" t="s">
        <v>73</v>
      </c>
      <c r="E27" s="20"/>
      <c r="F27" s="20"/>
      <c r="G27" s="19">
        <v>3000.0</v>
      </c>
      <c r="H27" s="18"/>
      <c r="I27" s="2">
        <v>2000.0</v>
      </c>
    </row>
    <row r="28" ht="15.75" customHeight="1">
      <c r="A28" s="19" t="s">
        <v>100</v>
      </c>
      <c r="B28" s="26">
        <v>0.0</v>
      </c>
      <c r="C28" s="26">
        <v>0.0</v>
      </c>
      <c r="D28" s="26" t="s">
        <v>73</v>
      </c>
      <c r="E28" s="20"/>
      <c r="F28" s="20"/>
      <c r="G28" s="19">
        <v>5315.0</v>
      </c>
      <c r="H28" s="18"/>
    </row>
    <row r="29" ht="15.75" customHeight="1">
      <c r="A29" s="21" t="s">
        <v>111</v>
      </c>
      <c r="B29" s="28">
        <v>5000.0</v>
      </c>
      <c r="C29" s="26">
        <v>0.0</v>
      </c>
      <c r="D29" s="26" t="s">
        <v>73</v>
      </c>
      <c r="E29" s="18"/>
      <c r="F29" s="18"/>
      <c r="G29" s="19">
        <v>4661.0</v>
      </c>
      <c r="H29" s="18"/>
    </row>
    <row r="30" ht="15.75" customHeight="1">
      <c r="A30" s="28" t="s">
        <v>120</v>
      </c>
      <c r="B30" s="28">
        <v>7000.0</v>
      </c>
      <c r="C30" s="26">
        <v>0.0</v>
      </c>
      <c r="D30" s="26" t="s">
        <v>73</v>
      </c>
      <c r="E30" s="18"/>
      <c r="F30" s="18"/>
      <c r="G30" s="18"/>
      <c r="H30" s="18"/>
    </row>
    <row r="31" ht="15.75" customHeight="1">
      <c r="A31" s="21"/>
      <c r="B31" s="21"/>
      <c r="C31" s="21"/>
      <c r="D31" s="21"/>
      <c r="E31" s="18"/>
      <c r="F31" s="18"/>
      <c r="G31" s="18"/>
      <c r="H31" s="18"/>
    </row>
    <row r="32" ht="15.75" customHeight="1">
      <c r="A32" s="21"/>
      <c r="B32" s="21"/>
      <c r="C32" s="21"/>
      <c r="D32" s="21"/>
      <c r="E32" s="18"/>
      <c r="F32" s="18"/>
      <c r="G32" s="18"/>
      <c r="H32" s="18"/>
    </row>
    <row r="33" ht="15.75" customHeight="1">
      <c r="A33" s="21"/>
      <c r="B33" s="21"/>
      <c r="C33" s="21"/>
      <c r="D33" s="21"/>
      <c r="E33" s="18"/>
      <c r="F33" s="18"/>
      <c r="G33" s="18"/>
      <c r="H33" s="18"/>
    </row>
    <row r="34" ht="15.75" customHeight="1">
      <c r="A34" s="21" t="s">
        <v>101</v>
      </c>
      <c r="B34" s="21">
        <f>SUM(B3:B33)</f>
        <v>124073</v>
      </c>
      <c r="C34" s="21"/>
      <c r="D34" s="21"/>
      <c r="E34" s="18"/>
      <c r="F34" s="18"/>
      <c r="G34" s="18"/>
      <c r="H34" s="18"/>
    </row>
    <row r="35" ht="15.75" customHeight="1">
      <c r="A35" s="21" t="s">
        <v>102</v>
      </c>
      <c r="C35" s="21">
        <f>SUM(C3:C33)</f>
        <v>69704</v>
      </c>
      <c r="D35" s="21"/>
      <c r="E35" s="18"/>
      <c r="F35" s="18"/>
      <c r="G35" s="18"/>
      <c r="H35" s="18"/>
    </row>
    <row r="36" ht="15.75" customHeight="1">
      <c r="A36" s="21"/>
      <c r="B36" s="21"/>
      <c r="C36" s="21"/>
      <c r="D36" s="21"/>
      <c r="E36" s="18"/>
      <c r="F36" s="18"/>
      <c r="G36" s="18"/>
      <c r="H36" s="18"/>
      <c r="K36" s="2">
        <v>42000.0</v>
      </c>
    </row>
    <row r="37" ht="15.75" customHeight="1">
      <c r="A37" s="21" t="s">
        <v>67</v>
      </c>
      <c r="B37" s="21"/>
      <c r="C37" s="21"/>
      <c r="D37" s="29">
        <v>145399.0</v>
      </c>
      <c r="E37" s="18"/>
      <c r="F37" s="18"/>
      <c r="G37" s="18"/>
      <c r="H37" s="18"/>
    </row>
    <row r="38" ht="15.75" customHeight="1">
      <c r="A38" s="21"/>
      <c r="B38" s="21"/>
      <c r="C38" s="21"/>
      <c r="D38" s="21"/>
      <c r="E38" s="18"/>
      <c r="F38" s="18"/>
      <c r="G38" s="18"/>
      <c r="H38" s="18"/>
    </row>
    <row r="39" ht="15.75" customHeight="1">
      <c r="A39" s="21" t="s">
        <v>68</v>
      </c>
      <c r="B39" s="22">
        <f>D37-B34</f>
        <v>21326</v>
      </c>
      <c r="C39" s="22">
        <f>D37-C35</f>
        <v>75695</v>
      </c>
      <c r="D39" s="22"/>
      <c r="E39" s="18"/>
      <c r="F39" s="18"/>
      <c r="G39" s="18"/>
      <c r="H39" s="18"/>
    </row>
    <row r="40" ht="15.75" customHeight="1">
      <c r="A40" s="18"/>
      <c r="B40" s="18"/>
      <c r="C40" s="18"/>
      <c r="D40" s="18"/>
      <c r="E40" s="18"/>
      <c r="F40" s="23"/>
      <c r="G40" s="18"/>
      <c r="H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</row>
    <row r="43" ht="15.75" customHeight="1">
      <c r="A43" s="31" t="s">
        <v>121</v>
      </c>
      <c r="B43" s="18"/>
      <c r="C43" s="31">
        <v>55158.0</v>
      </c>
      <c r="D43" s="18"/>
      <c r="E43" s="18"/>
      <c r="F43" s="18"/>
      <c r="G43" s="18"/>
      <c r="H43" s="18"/>
    </row>
    <row r="44" ht="15.75" customHeight="1">
      <c r="A44" s="31" t="s">
        <v>122</v>
      </c>
      <c r="B44" s="18"/>
      <c r="C44" s="31">
        <v>182104.0</v>
      </c>
      <c r="D44" s="18"/>
      <c r="E44" s="18"/>
      <c r="F44" s="18"/>
      <c r="G44" s="18"/>
      <c r="H44" s="18"/>
    </row>
    <row r="45" ht="15.75" customHeight="1">
      <c r="A45" s="31" t="s">
        <v>123</v>
      </c>
      <c r="B45" s="18"/>
      <c r="C45" s="31">
        <v>135827.0</v>
      </c>
      <c r="D45" s="18"/>
      <c r="E45" s="18"/>
      <c r="F45" s="18"/>
      <c r="G45" s="18"/>
      <c r="H45" s="18"/>
    </row>
    <row r="46" ht="15.75" customHeight="1">
      <c r="A46" s="18"/>
      <c r="B46" s="18"/>
      <c r="C46" s="31">
        <v>46277.0</v>
      </c>
      <c r="D46" s="18"/>
      <c r="E46" s="18"/>
      <c r="F46" s="18"/>
      <c r="G46" s="18"/>
      <c r="H46" s="18"/>
    </row>
    <row r="47" ht="15.75" customHeight="1">
      <c r="A47" s="31" t="s">
        <v>124</v>
      </c>
      <c r="B47" s="18"/>
      <c r="C47" s="31">
        <v>120000.0</v>
      </c>
      <c r="D47" s="18"/>
      <c r="E47" s="18"/>
      <c r="F47" s="18"/>
      <c r="G47" s="18"/>
      <c r="H47" s="18"/>
    </row>
    <row r="48" ht="15.75" customHeight="1">
      <c r="A48" s="31" t="s">
        <v>125</v>
      </c>
      <c r="B48" s="18"/>
      <c r="C48" s="31">
        <v>73727.0</v>
      </c>
      <c r="D48" s="18"/>
      <c r="E48" s="18"/>
      <c r="F48" s="18"/>
      <c r="G48" s="18"/>
      <c r="H48" s="18"/>
    </row>
    <row r="49" ht="15.75" customHeight="1">
      <c r="A49" s="31" t="s">
        <v>126</v>
      </c>
      <c r="B49" s="18"/>
      <c r="C49" s="31">
        <v>50000.0</v>
      </c>
      <c r="D49" s="18"/>
      <c r="E49" s="18"/>
      <c r="F49" s="18"/>
      <c r="G49" s="18"/>
      <c r="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G$30"/>
  <mergeCells count="1">
    <mergeCell ref="A1:G1"/>
  </mergeCells>
  <conditionalFormatting sqref="D3:D30">
    <cfRule type="containsText" dxfId="0" priority="1" operator="containsText" text="TBD">
      <formula>NOT(ISERROR(SEARCH(("TBD"),(D3))))</formula>
    </cfRule>
  </conditionalFormatting>
  <conditionalFormatting sqref="D3:D30">
    <cfRule type="cellIs" dxfId="1" priority="2" operator="equal">
      <formula>"Completed"</formula>
    </cfRule>
  </conditionalFormatting>
  <dataValidations>
    <dataValidation type="list" allowBlank="1" showErrorMessage="1" sqref="J4">
      <formula1>$J$3:$J$4</formula1>
    </dataValidation>
    <dataValidation type="list" allowBlank="1" showErrorMessage="1" sqref="D3:D30">
      <formula1>$J$3:$J$5</formula1>
    </dataValidation>
    <dataValidation type="list" allowBlank="1" showErrorMessage="1" sqref="J3">
      <formula1>$J$3:$J$5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29.0"/>
    <col customWidth="1" min="3" max="3" width="24.44"/>
    <col customWidth="1" min="4" max="4" width="22.0"/>
    <col customWidth="1" min="5" max="5" width="9.0"/>
    <col customWidth="1" min="6" max="6" width="16.0"/>
    <col customWidth="1" min="7" max="7" width="11.44"/>
    <col customWidth="1" min="8" max="9" width="10.56"/>
    <col customWidth="1" min="10" max="10" width="10.11"/>
    <col customWidth="1" min="11" max="11" width="6.11"/>
    <col customWidth="1" min="12" max="12" width="7.11"/>
    <col customWidth="1" min="13" max="13" width="9.33"/>
    <col customWidth="1" min="14" max="14" width="7.11"/>
    <col customWidth="1" min="15" max="26" width="10.56"/>
  </cols>
  <sheetData>
    <row r="1" ht="39.0" customHeight="1">
      <c r="A1" s="17" t="s">
        <v>69</v>
      </c>
      <c r="B1" s="9"/>
      <c r="C1" s="9"/>
      <c r="D1" s="9"/>
      <c r="E1" s="9"/>
      <c r="F1" s="9"/>
      <c r="G1" s="10"/>
      <c r="H1" s="18"/>
    </row>
    <row r="2" ht="15.75" customHeight="1">
      <c r="A2" s="19" t="s">
        <v>32</v>
      </c>
      <c r="B2" s="19" t="s">
        <v>70</v>
      </c>
      <c r="C2" s="19" t="s">
        <v>71</v>
      </c>
      <c r="D2" s="19" t="s">
        <v>34</v>
      </c>
      <c r="E2" s="20"/>
      <c r="F2" s="19" t="s">
        <v>35</v>
      </c>
      <c r="G2" s="19"/>
      <c r="H2" s="18"/>
    </row>
    <row r="3" ht="15.75" customHeight="1">
      <c r="A3" s="19" t="s">
        <v>36</v>
      </c>
      <c r="B3" s="25">
        <v>16500.0</v>
      </c>
      <c r="C3" s="26">
        <v>16500.0</v>
      </c>
      <c r="D3" s="26" t="s">
        <v>72</v>
      </c>
      <c r="E3" s="20"/>
      <c r="F3" s="19" t="s">
        <v>37</v>
      </c>
      <c r="G3" s="19">
        <f>SUMIF(A:A, "*RD*", C:C)</f>
        <v>374262</v>
      </c>
      <c r="H3" s="18"/>
      <c r="J3" s="2" t="s">
        <v>72</v>
      </c>
    </row>
    <row r="4" ht="15.75" customHeight="1">
      <c r="A4" s="19" t="s">
        <v>38</v>
      </c>
      <c r="B4" s="19">
        <v>2000.0</v>
      </c>
      <c r="C4" s="26">
        <v>2000.0</v>
      </c>
      <c r="D4" s="26" t="s">
        <v>73</v>
      </c>
      <c r="E4" s="20"/>
      <c r="F4" s="19" t="s">
        <v>39</v>
      </c>
      <c r="G4" s="19">
        <f>SUMIF(A:A, "*MF*", C:C)</f>
        <v>8000</v>
      </c>
      <c r="H4" s="18"/>
      <c r="J4" s="30" t="s">
        <v>73</v>
      </c>
    </row>
    <row r="5" ht="15.75" customHeight="1">
      <c r="A5" s="19" t="s">
        <v>40</v>
      </c>
      <c r="B5" s="19">
        <v>16392.0</v>
      </c>
      <c r="C5" s="26">
        <v>0.0</v>
      </c>
      <c r="D5" s="26" t="s">
        <v>73</v>
      </c>
      <c r="E5" s="20"/>
      <c r="F5" s="19" t="s">
        <v>41</v>
      </c>
      <c r="G5" s="19">
        <v>0.0</v>
      </c>
      <c r="H5" s="18"/>
      <c r="J5" s="30" t="s">
        <v>116</v>
      </c>
    </row>
    <row r="6" ht="15.75" customHeight="1">
      <c r="A6" s="19" t="s">
        <v>42</v>
      </c>
      <c r="B6" s="26">
        <v>4000.0</v>
      </c>
      <c r="C6" s="26">
        <v>4000.0</v>
      </c>
      <c r="D6" s="26" t="s">
        <v>73</v>
      </c>
      <c r="E6" s="20"/>
      <c r="F6" s="19"/>
      <c r="G6" s="19"/>
      <c r="H6" s="18"/>
    </row>
    <row r="7" ht="15.75" customHeight="1">
      <c r="A7" s="19" t="s">
        <v>43</v>
      </c>
      <c r="B7" s="19">
        <v>945.0</v>
      </c>
      <c r="C7" s="26">
        <v>585.0</v>
      </c>
      <c r="D7" s="26" t="s">
        <v>72</v>
      </c>
      <c r="E7" s="20"/>
      <c r="F7" s="19" t="s">
        <v>44</v>
      </c>
      <c r="G7" s="19">
        <f>SUM(G3:G5)</f>
        <v>382262</v>
      </c>
      <c r="H7" s="18"/>
    </row>
    <row r="8" ht="15.75" customHeight="1">
      <c r="A8" s="19" t="s">
        <v>45</v>
      </c>
      <c r="B8" s="19">
        <v>5000.0</v>
      </c>
      <c r="C8" s="26">
        <v>5000.0</v>
      </c>
      <c r="D8" s="26" t="s">
        <v>73</v>
      </c>
      <c r="E8" s="20"/>
      <c r="F8" s="20"/>
      <c r="G8" s="20"/>
      <c r="H8" s="18"/>
    </row>
    <row r="9" ht="15.75" customHeight="1">
      <c r="A9" s="19" t="s">
        <v>46</v>
      </c>
      <c r="B9" s="19">
        <v>5000.0</v>
      </c>
      <c r="C9" s="26">
        <v>5000.0</v>
      </c>
      <c r="D9" s="26" t="s">
        <v>73</v>
      </c>
      <c r="E9" s="20"/>
      <c r="F9" s="20"/>
      <c r="G9" s="20"/>
      <c r="H9" s="18"/>
    </row>
    <row r="10" ht="15.75" customHeight="1">
      <c r="A10" s="19" t="s">
        <v>47</v>
      </c>
      <c r="B10" s="25">
        <v>2062.0</v>
      </c>
      <c r="C10" s="26">
        <v>0.0</v>
      </c>
      <c r="D10" s="26" t="s">
        <v>73</v>
      </c>
      <c r="E10" s="20"/>
      <c r="F10" s="19" t="s">
        <v>48</v>
      </c>
      <c r="G10" s="19">
        <v>25204.0</v>
      </c>
      <c r="H10" s="18"/>
    </row>
    <row r="11" ht="15.75" customHeight="1">
      <c r="A11" s="19" t="s">
        <v>49</v>
      </c>
      <c r="B11" s="19">
        <v>5267.0</v>
      </c>
      <c r="C11" s="26">
        <v>0.0</v>
      </c>
      <c r="D11" s="26" t="s">
        <v>73</v>
      </c>
      <c r="E11" s="20"/>
      <c r="F11" s="19" t="s">
        <v>50</v>
      </c>
      <c r="G11" s="19">
        <v>12500.0</v>
      </c>
      <c r="H11" s="18"/>
    </row>
    <row r="12" ht="15.75" customHeight="1">
      <c r="A12" s="19" t="s">
        <v>51</v>
      </c>
      <c r="B12" s="26">
        <v>3251.0</v>
      </c>
      <c r="C12" s="26">
        <v>0.0</v>
      </c>
      <c r="D12" s="26" t="s">
        <v>73</v>
      </c>
      <c r="E12" s="20"/>
      <c r="F12" s="19"/>
      <c r="G12" s="19"/>
      <c r="H12" s="18"/>
    </row>
    <row r="13" ht="15.75" customHeight="1">
      <c r="A13" s="19" t="s">
        <v>52</v>
      </c>
      <c r="B13" s="19">
        <v>3000.0</v>
      </c>
      <c r="C13" s="26">
        <v>3000.0</v>
      </c>
      <c r="D13" s="26" t="s">
        <v>73</v>
      </c>
      <c r="E13" s="20"/>
      <c r="F13" s="19" t="s">
        <v>44</v>
      </c>
      <c r="G13" s="19">
        <f>SUM(G10:G11)</f>
        <v>37704</v>
      </c>
      <c r="H13" s="18"/>
      <c r="M13" s="2" t="s">
        <v>103</v>
      </c>
      <c r="N13" s="2">
        <v>70000.0</v>
      </c>
    </row>
    <row r="14" ht="15.75" customHeight="1">
      <c r="A14" s="19" t="s">
        <v>53</v>
      </c>
      <c r="B14" s="19">
        <v>5000.0</v>
      </c>
      <c r="C14" s="26">
        <v>5000.0</v>
      </c>
      <c r="D14" s="26" t="s">
        <v>73</v>
      </c>
      <c r="E14" s="20"/>
      <c r="F14" s="20"/>
      <c r="G14" s="20"/>
      <c r="H14" s="18"/>
      <c r="M14" s="2" t="s">
        <v>37</v>
      </c>
      <c r="N14" s="7">
        <v>112000.0</v>
      </c>
    </row>
    <row r="15" ht="15.75" customHeight="1">
      <c r="A15" s="19" t="s">
        <v>54</v>
      </c>
      <c r="B15" s="26">
        <v>9000.0</v>
      </c>
      <c r="C15" s="26">
        <v>9000.0</v>
      </c>
      <c r="D15" s="26" t="s">
        <v>72</v>
      </c>
      <c r="E15" s="20"/>
      <c r="F15" s="20"/>
      <c r="G15" s="20"/>
      <c r="H15" s="18"/>
      <c r="M15" s="2" t="s">
        <v>104</v>
      </c>
      <c r="N15" s="2">
        <v>200000.0</v>
      </c>
    </row>
    <row r="16" ht="15.75" customHeight="1">
      <c r="A16" s="19" t="s">
        <v>55</v>
      </c>
      <c r="B16" s="19">
        <v>5000.0</v>
      </c>
      <c r="C16" s="26">
        <v>5000.0</v>
      </c>
      <c r="D16" s="26" t="s">
        <v>72</v>
      </c>
      <c r="E16" s="20"/>
      <c r="F16" s="20"/>
      <c r="G16" s="20"/>
      <c r="H16" s="18"/>
      <c r="M16" s="2" t="s">
        <v>91</v>
      </c>
      <c r="N16" s="7">
        <v>97527.0</v>
      </c>
    </row>
    <row r="17" ht="15.75" customHeight="1">
      <c r="A17" s="26" t="s">
        <v>117</v>
      </c>
      <c r="B17" s="26">
        <v>2318.0</v>
      </c>
      <c r="C17" s="26">
        <v>1642.0</v>
      </c>
      <c r="D17" s="26" t="s">
        <v>73</v>
      </c>
      <c r="E17" s="20"/>
      <c r="F17" s="19" t="s">
        <v>20</v>
      </c>
      <c r="G17" s="19">
        <f>SUMIF(F:F, "*Sub Total*", G:G)</f>
        <v>419966</v>
      </c>
      <c r="H17" s="18"/>
      <c r="N17" s="2">
        <v>0.0</v>
      </c>
    </row>
    <row r="18" ht="15.75" customHeight="1">
      <c r="A18" s="19" t="s">
        <v>57</v>
      </c>
      <c r="B18" s="26">
        <v>372.0</v>
      </c>
      <c r="C18" s="26">
        <v>0.0</v>
      </c>
      <c r="D18" s="26" t="s">
        <v>73</v>
      </c>
      <c r="E18" s="20"/>
      <c r="F18" s="20"/>
      <c r="G18" s="20"/>
      <c r="H18" s="18"/>
      <c r="N18" s="2">
        <v>0.0</v>
      </c>
    </row>
    <row r="19" ht="15.75" customHeight="1">
      <c r="A19" s="19" t="s">
        <v>58</v>
      </c>
      <c r="B19" s="19">
        <v>2000.0</v>
      </c>
      <c r="C19" s="26">
        <v>0.0</v>
      </c>
      <c r="D19" s="26" t="s">
        <v>73</v>
      </c>
      <c r="E19" s="20"/>
      <c r="F19" s="20"/>
      <c r="G19" s="20"/>
      <c r="H19" s="18"/>
      <c r="N19" s="2">
        <v>0.0</v>
      </c>
    </row>
    <row r="20" ht="15.75" customHeight="1">
      <c r="A20" s="19" t="s">
        <v>59</v>
      </c>
      <c r="B20" s="19">
        <v>2000.0</v>
      </c>
      <c r="C20" s="26">
        <v>0.0</v>
      </c>
      <c r="D20" s="26" t="s">
        <v>73</v>
      </c>
      <c r="E20" s="20"/>
      <c r="F20" s="20"/>
      <c r="G20" s="20"/>
      <c r="H20" s="18"/>
      <c r="M20" s="2" t="s">
        <v>105</v>
      </c>
      <c r="N20" s="2">
        <f>SUM(N13:N19)</f>
        <v>479527</v>
      </c>
    </row>
    <row r="21" ht="15.75" customHeight="1">
      <c r="A21" s="19" t="s">
        <v>135</v>
      </c>
      <c r="B21" s="19">
        <v>5000.0</v>
      </c>
      <c r="C21" s="26">
        <v>5000.0</v>
      </c>
      <c r="D21" s="26" t="s">
        <v>73</v>
      </c>
      <c r="E21" s="20"/>
      <c r="F21" s="20"/>
      <c r="G21" s="20"/>
      <c r="H21" s="18"/>
    </row>
    <row r="22" ht="15.75" customHeight="1">
      <c r="A22" s="19" t="s">
        <v>136</v>
      </c>
      <c r="B22" s="19">
        <v>5000.0</v>
      </c>
      <c r="C22" s="26">
        <v>0.0</v>
      </c>
      <c r="D22" s="26" t="s">
        <v>73</v>
      </c>
      <c r="E22" s="20"/>
      <c r="F22" s="20"/>
      <c r="G22" s="20"/>
      <c r="H22" s="18"/>
    </row>
    <row r="23" ht="15.75" customHeight="1">
      <c r="A23" s="19" t="s">
        <v>87</v>
      </c>
      <c r="B23" s="26">
        <v>4366.0</v>
      </c>
      <c r="C23" s="26">
        <v>1000.0</v>
      </c>
      <c r="D23" s="26" t="s">
        <v>73</v>
      </c>
      <c r="E23" s="20"/>
      <c r="F23" s="20"/>
      <c r="G23" s="20"/>
      <c r="H23" s="18"/>
    </row>
    <row r="24" ht="15.75" customHeight="1">
      <c r="A24" s="19" t="s">
        <v>89</v>
      </c>
      <c r="B24" s="26">
        <v>1500.0</v>
      </c>
      <c r="C24" s="26">
        <v>0.0</v>
      </c>
      <c r="D24" s="26" t="s">
        <v>73</v>
      </c>
      <c r="E24" s="20"/>
      <c r="F24" s="20"/>
      <c r="G24" s="20"/>
      <c r="H24" s="18"/>
    </row>
    <row r="25" ht="15.75" customHeight="1">
      <c r="A25" s="19" t="s">
        <v>91</v>
      </c>
      <c r="B25" s="25">
        <v>2100.0</v>
      </c>
      <c r="C25" s="26">
        <v>2000.0</v>
      </c>
      <c r="D25" s="26" t="s">
        <v>73</v>
      </c>
      <c r="E25" s="20"/>
      <c r="F25" s="20"/>
      <c r="G25" s="20"/>
      <c r="H25" s="18"/>
    </row>
    <row r="26" ht="15.75" customHeight="1">
      <c r="A26" s="19" t="s">
        <v>92</v>
      </c>
      <c r="B26" s="26">
        <v>3500.0</v>
      </c>
      <c r="C26" s="26">
        <v>0.0</v>
      </c>
      <c r="D26" s="26" t="s">
        <v>73</v>
      </c>
      <c r="E26" s="20"/>
      <c r="F26" s="20"/>
      <c r="G26" s="20"/>
      <c r="H26" s="18"/>
    </row>
    <row r="27" ht="15.75" customHeight="1">
      <c r="A27" s="19" t="s">
        <v>98</v>
      </c>
      <c r="B27" s="25">
        <v>1500.0</v>
      </c>
      <c r="C27" s="26">
        <v>4562.0</v>
      </c>
      <c r="D27" s="26" t="s">
        <v>73</v>
      </c>
      <c r="E27" s="20"/>
      <c r="F27" s="20"/>
      <c r="G27" s="19">
        <v>3000.0</v>
      </c>
      <c r="H27" s="18"/>
      <c r="I27" s="2">
        <v>2000.0</v>
      </c>
    </row>
    <row r="28" ht="15.75" customHeight="1">
      <c r="A28" s="19" t="s">
        <v>100</v>
      </c>
      <c r="B28" s="26">
        <v>0.0</v>
      </c>
      <c r="C28" s="26">
        <v>0.0</v>
      </c>
      <c r="D28" s="26" t="s">
        <v>73</v>
      </c>
      <c r="E28" s="20"/>
      <c r="F28" s="20"/>
      <c r="G28" s="19">
        <v>5315.0</v>
      </c>
      <c r="H28" s="18"/>
    </row>
    <row r="29" ht="15.75" customHeight="1">
      <c r="A29" s="21" t="s">
        <v>111</v>
      </c>
      <c r="B29" s="28">
        <v>5000.0</v>
      </c>
      <c r="C29" s="26">
        <v>0.0</v>
      </c>
      <c r="D29" s="26" t="s">
        <v>73</v>
      </c>
      <c r="E29" s="18"/>
      <c r="F29" s="18"/>
      <c r="G29" s="19">
        <v>4661.0</v>
      </c>
      <c r="H29" s="18"/>
    </row>
    <row r="30" ht="15.75" customHeight="1">
      <c r="A30" s="28" t="s">
        <v>120</v>
      </c>
      <c r="B30" s="28">
        <v>7000.0</v>
      </c>
      <c r="C30" s="26">
        <v>0.0</v>
      </c>
      <c r="D30" s="26" t="s">
        <v>73</v>
      </c>
      <c r="E30" s="18"/>
      <c r="F30" s="18"/>
      <c r="G30" s="18"/>
      <c r="H30" s="18"/>
    </row>
    <row r="31" ht="15.75" customHeight="1">
      <c r="A31" s="21"/>
      <c r="B31" s="21"/>
      <c r="C31" s="21"/>
      <c r="D31" s="21"/>
      <c r="E31" s="18"/>
      <c r="F31" s="18"/>
      <c r="G31" s="18"/>
      <c r="H31" s="18"/>
    </row>
    <row r="32" ht="15.75" customHeight="1">
      <c r="A32" s="21"/>
      <c r="B32" s="21"/>
      <c r="C32" s="21"/>
      <c r="D32" s="21"/>
      <c r="E32" s="18"/>
      <c r="F32" s="18"/>
      <c r="G32" s="18"/>
      <c r="H32" s="18"/>
    </row>
    <row r="33" ht="15.75" customHeight="1">
      <c r="A33" s="21"/>
      <c r="B33" s="21"/>
      <c r="C33" s="21"/>
      <c r="D33" s="21"/>
      <c r="E33" s="18"/>
      <c r="F33" s="18"/>
      <c r="G33" s="18"/>
      <c r="H33" s="18"/>
    </row>
    <row r="34" ht="15.75" customHeight="1">
      <c r="A34" s="21" t="s">
        <v>101</v>
      </c>
      <c r="B34" s="21">
        <f>SUM(B3:B33)</f>
        <v>124073</v>
      </c>
      <c r="C34" s="21"/>
      <c r="D34" s="21"/>
      <c r="E34" s="18"/>
      <c r="F34" s="18"/>
      <c r="G34" s="18"/>
      <c r="H34" s="18"/>
    </row>
    <row r="35" ht="15.75" customHeight="1">
      <c r="A35" s="21" t="s">
        <v>102</v>
      </c>
      <c r="C35" s="21">
        <f>SUM(C3:C33)</f>
        <v>69289</v>
      </c>
      <c r="D35" s="21"/>
      <c r="E35" s="18"/>
      <c r="F35" s="18"/>
      <c r="G35" s="18"/>
      <c r="H35" s="18"/>
    </row>
    <row r="36" ht="15.75" customHeight="1">
      <c r="A36" s="21"/>
      <c r="B36" s="21"/>
      <c r="C36" s="21"/>
      <c r="D36" s="21"/>
      <c r="E36" s="18"/>
      <c r="F36" s="18"/>
      <c r="G36" s="18"/>
      <c r="H36" s="18"/>
      <c r="K36" s="2">
        <v>42000.0</v>
      </c>
    </row>
    <row r="37" ht="15.75" customHeight="1">
      <c r="A37" s="21" t="s">
        <v>67</v>
      </c>
      <c r="B37" s="21"/>
      <c r="C37" s="21"/>
      <c r="D37" s="29">
        <v>145399.0</v>
      </c>
      <c r="E37" s="18"/>
      <c r="F37" s="18"/>
      <c r="G37" s="18"/>
      <c r="H37" s="18"/>
    </row>
    <row r="38" ht="15.75" customHeight="1">
      <c r="A38" s="21"/>
      <c r="B38" s="21"/>
      <c r="C38" s="21"/>
      <c r="D38" s="21"/>
      <c r="E38" s="18"/>
      <c r="F38" s="18"/>
      <c r="G38" s="18"/>
      <c r="H38" s="18"/>
    </row>
    <row r="39" ht="15.75" customHeight="1">
      <c r="A39" s="21" t="s">
        <v>68</v>
      </c>
      <c r="B39" s="22">
        <f>D37-B34</f>
        <v>21326</v>
      </c>
      <c r="C39" s="22">
        <f>D37-C35</f>
        <v>76110</v>
      </c>
      <c r="D39" s="22"/>
      <c r="E39" s="18"/>
      <c r="F39" s="18"/>
      <c r="G39" s="18"/>
      <c r="H39" s="18"/>
    </row>
    <row r="40" ht="15.75" customHeight="1">
      <c r="A40" s="18"/>
      <c r="B40" s="18"/>
      <c r="C40" s="18"/>
      <c r="D40" s="18"/>
      <c r="E40" s="18"/>
      <c r="F40" s="23"/>
      <c r="G40" s="18"/>
      <c r="H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</row>
    <row r="43" ht="15.75" customHeight="1">
      <c r="A43" s="31" t="s">
        <v>121</v>
      </c>
      <c r="B43" s="18"/>
      <c r="C43" s="31">
        <v>55158.0</v>
      </c>
      <c r="D43" s="18"/>
      <c r="E43" s="18"/>
      <c r="F43" s="18"/>
      <c r="G43" s="18"/>
      <c r="H43" s="18"/>
    </row>
    <row r="44" ht="15.75" customHeight="1">
      <c r="A44" s="31" t="s">
        <v>122</v>
      </c>
      <c r="B44" s="18"/>
      <c r="C44" s="31">
        <v>182104.0</v>
      </c>
      <c r="D44" s="18"/>
      <c r="E44" s="18"/>
      <c r="F44" s="18"/>
      <c r="G44" s="18"/>
      <c r="H44" s="18"/>
    </row>
    <row r="45" ht="15.75" customHeight="1">
      <c r="A45" s="31" t="s">
        <v>123</v>
      </c>
      <c r="B45" s="18"/>
      <c r="C45" s="31">
        <v>135827.0</v>
      </c>
      <c r="D45" s="18"/>
      <c r="E45" s="18"/>
      <c r="F45" s="18"/>
      <c r="G45" s="18"/>
      <c r="H45" s="18"/>
    </row>
    <row r="46" ht="15.75" customHeight="1">
      <c r="A46" s="18"/>
      <c r="B46" s="18"/>
      <c r="C46" s="31">
        <v>46277.0</v>
      </c>
      <c r="D46" s="18"/>
      <c r="E46" s="18"/>
      <c r="F46" s="18"/>
      <c r="G46" s="18"/>
      <c r="H46" s="18"/>
    </row>
    <row r="47" ht="15.75" customHeight="1">
      <c r="A47" s="31" t="s">
        <v>124</v>
      </c>
      <c r="B47" s="18"/>
      <c r="C47" s="31">
        <v>120000.0</v>
      </c>
      <c r="D47" s="18"/>
      <c r="E47" s="18"/>
      <c r="F47" s="18"/>
      <c r="G47" s="18"/>
      <c r="H47" s="18"/>
    </row>
    <row r="48" ht="15.75" customHeight="1">
      <c r="A48" s="31" t="s">
        <v>125</v>
      </c>
      <c r="B48" s="18"/>
      <c r="C48" s="31">
        <v>73727.0</v>
      </c>
      <c r="D48" s="18"/>
      <c r="E48" s="18"/>
      <c r="F48" s="18"/>
      <c r="G48" s="18"/>
      <c r="H48" s="18"/>
    </row>
    <row r="49" ht="15.75" customHeight="1">
      <c r="A49" s="31" t="s">
        <v>126</v>
      </c>
      <c r="B49" s="18"/>
      <c r="C49" s="31">
        <v>50000.0</v>
      </c>
      <c r="D49" s="18"/>
      <c r="E49" s="18"/>
      <c r="F49" s="18"/>
      <c r="G49" s="18"/>
      <c r="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G$30"/>
  <mergeCells count="1">
    <mergeCell ref="A1:G1"/>
  </mergeCells>
  <conditionalFormatting sqref="D3:D30">
    <cfRule type="containsText" dxfId="0" priority="1" operator="containsText" text="TBD">
      <formula>NOT(ISERROR(SEARCH(("TBD"),(D3))))</formula>
    </cfRule>
  </conditionalFormatting>
  <conditionalFormatting sqref="D3:D30">
    <cfRule type="cellIs" dxfId="1" priority="2" operator="equal">
      <formula>"Completed"</formula>
    </cfRule>
  </conditionalFormatting>
  <dataValidations>
    <dataValidation type="list" allowBlank="1" showErrorMessage="1" sqref="J4">
      <formula1>$J$3:$J$4</formula1>
    </dataValidation>
    <dataValidation type="list" allowBlank="1" showErrorMessage="1" sqref="D3:D30">
      <formula1>$J$3:$J$5</formula1>
    </dataValidation>
    <dataValidation type="list" allowBlank="1" showErrorMessage="1" sqref="J3">
      <formula1>$J$3:$J$5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29.0"/>
    <col customWidth="1" min="3" max="3" width="24.44"/>
    <col customWidth="1" min="4" max="4" width="22.0"/>
    <col customWidth="1" min="5" max="5" width="9.0"/>
    <col customWidth="1" min="6" max="6" width="16.0"/>
    <col customWidth="1" min="7" max="7" width="11.44"/>
    <col customWidth="1" min="8" max="9" width="10.56"/>
    <col customWidth="1" min="10" max="10" width="10.11"/>
    <col customWidth="1" min="11" max="11" width="6.11"/>
    <col customWidth="1" min="12" max="12" width="7.11"/>
    <col customWidth="1" min="13" max="13" width="9.33"/>
    <col customWidth="1" min="14" max="14" width="7.11"/>
    <col customWidth="1" min="15" max="26" width="10.56"/>
  </cols>
  <sheetData>
    <row r="1" ht="39.0" customHeight="1">
      <c r="A1" s="17" t="s">
        <v>69</v>
      </c>
      <c r="B1" s="9"/>
      <c r="C1" s="9"/>
      <c r="D1" s="9"/>
      <c r="E1" s="9"/>
      <c r="F1" s="9"/>
      <c r="G1" s="10"/>
      <c r="H1" s="18"/>
    </row>
    <row r="2" ht="15.75" customHeight="1">
      <c r="A2" s="19" t="s">
        <v>32</v>
      </c>
      <c r="B2" s="19" t="s">
        <v>70</v>
      </c>
      <c r="C2" s="19" t="s">
        <v>71</v>
      </c>
      <c r="D2" s="19" t="s">
        <v>34</v>
      </c>
      <c r="E2" s="20"/>
      <c r="F2" s="19" t="s">
        <v>35</v>
      </c>
      <c r="G2" s="19"/>
      <c r="H2" s="18"/>
    </row>
    <row r="3" ht="15.75" customHeight="1">
      <c r="A3" s="19" t="s">
        <v>36</v>
      </c>
      <c r="B3" s="25">
        <v>16500.0</v>
      </c>
      <c r="C3" s="26">
        <v>16500.0</v>
      </c>
      <c r="D3" s="26" t="s">
        <v>72</v>
      </c>
      <c r="E3" s="20"/>
      <c r="F3" s="19" t="s">
        <v>37</v>
      </c>
      <c r="G3" s="19">
        <f>SUMIF(A:A, "*RD*", C:C)</f>
        <v>374262</v>
      </c>
      <c r="H3" s="18"/>
      <c r="J3" s="2" t="s">
        <v>72</v>
      </c>
    </row>
    <row r="4" ht="15.75" customHeight="1">
      <c r="A4" s="19" t="s">
        <v>38</v>
      </c>
      <c r="B4" s="19">
        <v>2000.0</v>
      </c>
      <c r="C4" s="26">
        <v>2000.0</v>
      </c>
      <c r="D4" s="26" t="s">
        <v>72</v>
      </c>
      <c r="E4" s="20"/>
      <c r="F4" s="19" t="s">
        <v>39</v>
      </c>
      <c r="G4" s="19">
        <f>SUMIF(A:A, "*MF*", C:C)</f>
        <v>10000</v>
      </c>
      <c r="H4" s="18"/>
      <c r="J4" s="30" t="s">
        <v>73</v>
      </c>
    </row>
    <row r="5" ht="15.75" customHeight="1">
      <c r="A5" s="19" t="s">
        <v>40</v>
      </c>
      <c r="B5" s="19">
        <v>16392.0</v>
      </c>
      <c r="C5" s="26">
        <v>16392.0</v>
      </c>
      <c r="D5" s="26" t="s">
        <v>72</v>
      </c>
      <c r="E5" s="20"/>
      <c r="F5" s="19" t="s">
        <v>41</v>
      </c>
      <c r="G5" s="19">
        <v>0.0</v>
      </c>
      <c r="H5" s="18"/>
      <c r="J5" s="30" t="s">
        <v>116</v>
      </c>
    </row>
    <row r="6" ht="15.75" customHeight="1">
      <c r="A6" s="19" t="s">
        <v>42</v>
      </c>
      <c r="B6" s="26">
        <v>4000.0</v>
      </c>
      <c r="C6" s="26">
        <v>4000.0</v>
      </c>
      <c r="D6" s="26" t="s">
        <v>72</v>
      </c>
      <c r="E6" s="20"/>
      <c r="F6" s="19"/>
      <c r="G6" s="19"/>
      <c r="H6" s="18"/>
    </row>
    <row r="7" ht="15.75" customHeight="1">
      <c r="A7" s="19" t="s">
        <v>43</v>
      </c>
      <c r="B7" s="19">
        <v>945.0</v>
      </c>
      <c r="C7" s="26">
        <v>585.0</v>
      </c>
      <c r="D7" s="26" t="s">
        <v>72</v>
      </c>
      <c r="E7" s="20"/>
      <c r="F7" s="19" t="s">
        <v>44</v>
      </c>
      <c r="G7" s="19">
        <f>SUM(G3:G5)</f>
        <v>384262</v>
      </c>
      <c r="H7" s="18"/>
    </row>
    <row r="8" ht="15.75" customHeight="1">
      <c r="A8" s="19" t="s">
        <v>45</v>
      </c>
      <c r="B8" s="19">
        <v>5000.0</v>
      </c>
      <c r="C8" s="26">
        <v>5000.0</v>
      </c>
      <c r="D8" s="26" t="s">
        <v>72</v>
      </c>
      <c r="E8" s="20"/>
      <c r="F8" s="20"/>
      <c r="G8" s="20"/>
      <c r="H8" s="18"/>
    </row>
    <row r="9" ht="15.75" customHeight="1">
      <c r="A9" s="19" t="s">
        <v>46</v>
      </c>
      <c r="B9" s="19">
        <v>5000.0</v>
      </c>
      <c r="C9" s="26">
        <v>5000.0</v>
      </c>
      <c r="D9" s="26" t="s">
        <v>72</v>
      </c>
      <c r="E9" s="20"/>
      <c r="F9" s="20"/>
      <c r="G9" s="20"/>
      <c r="H9" s="18"/>
    </row>
    <row r="10" ht="15.75" customHeight="1">
      <c r="A10" s="19" t="s">
        <v>47</v>
      </c>
      <c r="B10" s="25">
        <v>2062.0</v>
      </c>
      <c r="C10" s="26">
        <v>0.0</v>
      </c>
      <c r="D10" s="26" t="s">
        <v>73</v>
      </c>
      <c r="E10" s="20"/>
      <c r="F10" s="19" t="s">
        <v>48</v>
      </c>
      <c r="G10" s="19">
        <v>25204.0</v>
      </c>
      <c r="H10" s="18"/>
    </row>
    <row r="11" ht="15.75" customHeight="1">
      <c r="A11" s="19" t="s">
        <v>49</v>
      </c>
      <c r="B11" s="19">
        <v>5267.0</v>
      </c>
      <c r="C11" s="26">
        <v>0.0</v>
      </c>
      <c r="D11" s="26" t="s">
        <v>73</v>
      </c>
      <c r="E11" s="20"/>
      <c r="F11" s="19" t="s">
        <v>50</v>
      </c>
      <c r="G11" s="19">
        <v>12500.0</v>
      </c>
      <c r="H11" s="18"/>
    </row>
    <row r="12" ht="15.75" customHeight="1">
      <c r="A12" s="19" t="s">
        <v>51</v>
      </c>
      <c r="B12" s="26">
        <v>3251.0</v>
      </c>
      <c r="C12" s="26">
        <v>2586.0</v>
      </c>
      <c r="D12" s="26" t="s">
        <v>72</v>
      </c>
      <c r="E12" s="20"/>
      <c r="F12" s="19"/>
      <c r="G12" s="19"/>
      <c r="H12" s="18"/>
    </row>
    <row r="13" ht="15.75" customHeight="1">
      <c r="A13" s="19" t="s">
        <v>52</v>
      </c>
      <c r="B13" s="19">
        <v>3000.0</v>
      </c>
      <c r="C13" s="26">
        <v>0.0</v>
      </c>
      <c r="D13" s="26" t="s">
        <v>73</v>
      </c>
      <c r="E13" s="20"/>
      <c r="F13" s="19" t="s">
        <v>44</v>
      </c>
      <c r="G13" s="19">
        <f>SUM(G10:G11)</f>
        <v>37704</v>
      </c>
      <c r="H13" s="18"/>
      <c r="M13" s="2" t="s">
        <v>103</v>
      </c>
      <c r="N13" s="2">
        <v>70000.0</v>
      </c>
    </row>
    <row r="14" ht="15.75" customHeight="1">
      <c r="A14" s="19" t="s">
        <v>53</v>
      </c>
      <c r="B14" s="19">
        <v>5000.0</v>
      </c>
      <c r="C14" s="26">
        <v>5000.0</v>
      </c>
      <c r="D14" s="26" t="s">
        <v>72</v>
      </c>
      <c r="E14" s="20"/>
      <c r="F14" s="20"/>
      <c r="G14" s="20"/>
      <c r="H14" s="18"/>
      <c r="M14" s="2" t="s">
        <v>37</v>
      </c>
      <c r="N14" s="7">
        <v>112000.0</v>
      </c>
    </row>
    <row r="15" ht="15.75" customHeight="1">
      <c r="A15" s="19" t="s">
        <v>54</v>
      </c>
      <c r="B15" s="26">
        <v>9000.0</v>
      </c>
      <c r="C15" s="26">
        <v>9000.0</v>
      </c>
      <c r="D15" s="26" t="s">
        <v>72</v>
      </c>
      <c r="E15" s="20"/>
      <c r="F15" s="20"/>
      <c r="G15" s="20"/>
      <c r="H15" s="18"/>
      <c r="M15" s="2" t="s">
        <v>104</v>
      </c>
      <c r="N15" s="2">
        <v>200000.0</v>
      </c>
    </row>
    <row r="16" ht="15.75" customHeight="1">
      <c r="A16" s="19" t="s">
        <v>55</v>
      </c>
      <c r="B16" s="19">
        <v>5000.0</v>
      </c>
      <c r="C16" s="26">
        <v>5000.0</v>
      </c>
      <c r="D16" s="26" t="s">
        <v>72</v>
      </c>
      <c r="E16" s="20"/>
      <c r="F16" s="20"/>
      <c r="G16" s="20"/>
      <c r="H16" s="18"/>
      <c r="M16" s="2" t="s">
        <v>91</v>
      </c>
      <c r="N16" s="7">
        <v>97527.0</v>
      </c>
    </row>
    <row r="17" ht="15.75" customHeight="1">
      <c r="A17" s="26" t="s">
        <v>117</v>
      </c>
      <c r="B17" s="26">
        <v>2318.0</v>
      </c>
      <c r="C17" s="26">
        <v>1642.0</v>
      </c>
      <c r="D17" s="26" t="s">
        <v>73</v>
      </c>
      <c r="E17" s="20"/>
      <c r="F17" s="19" t="s">
        <v>20</v>
      </c>
      <c r="G17" s="19">
        <f>SUMIF(F:F, "*Sub Total*", G:G)</f>
        <v>421966</v>
      </c>
      <c r="H17" s="18"/>
      <c r="N17" s="2">
        <v>0.0</v>
      </c>
    </row>
    <row r="18" ht="15.75" customHeight="1">
      <c r="A18" s="19" t="s">
        <v>57</v>
      </c>
      <c r="B18" s="26">
        <v>372.0</v>
      </c>
      <c r="C18" s="26">
        <v>0.0</v>
      </c>
      <c r="D18" s="26" t="s">
        <v>73</v>
      </c>
      <c r="E18" s="20"/>
      <c r="F18" s="20"/>
      <c r="G18" s="20"/>
      <c r="H18" s="18"/>
      <c r="N18" s="2">
        <v>0.0</v>
      </c>
    </row>
    <row r="19" ht="15.75" customHeight="1">
      <c r="A19" s="19" t="s">
        <v>58</v>
      </c>
      <c r="B19" s="19">
        <v>2000.0</v>
      </c>
      <c r="C19" s="26">
        <v>0.0</v>
      </c>
      <c r="D19" s="26" t="s">
        <v>73</v>
      </c>
      <c r="E19" s="20"/>
      <c r="F19" s="20"/>
      <c r="G19" s="20"/>
      <c r="H19" s="18"/>
      <c r="N19" s="2">
        <v>0.0</v>
      </c>
    </row>
    <row r="20" ht="15.75" customHeight="1">
      <c r="A20" s="19" t="s">
        <v>59</v>
      </c>
      <c r="B20" s="19">
        <v>2000.0</v>
      </c>
      <c r="C20" s="26">
        <v>0.0</v>
      </c>
      <c r="D20" s="26" t="s">
        <v>73</v>
      </c>
      <c r="E20" s="20"/>
      <c r="F20" s="20"/>
      <c r="G20" s="20"/>
      <c r="H20" s="18"/>
      <c r="M20" s="2" t="s">
        <v>105</v>
      </c>
      <c r="N20" s="2">
        <f>SUM(N13:N19)</f>
        <v>479527</v>
      </c>
    </row>
    <row r="21" ht="15.75" customHeight="1">
      <c r="A21" s="19" t="s">
        <v>137</v>
      </c>
      <c r="B21" s="19">
        <v>5000.0</v>
      </c>
      <c r="C21" s="26">
        <v>5000.0</v>
      </c>
      <c r="D21" s="26" t="s">
        <v>72</v>
      </c>
      <c r="E21" s="20"/>
      <c r="F21" s="20"/>
      <c r="G21" s="20"/>
      <c r="H21" s="18"/>
    </row>
    <row r="22" ht="15.75" customHeight="1">
      <c r="A22" s="19" t="s">
        <v>138</v>
      </c>
      <c r="B22" s="19">
        <v>5000.0</v>
      </c>
      <c r="C22" s="26">
        <v>5000.0</v>
      </c>
      <c r="D22" s="26" t="s">
        <v>72</v>
      </c>
      <c r="E22" s="20"/>
      <c r="F22" s="20"/>
      <c r="G22" s="20"/>
      <c r="H22" s="18"/>
    </row>
    <row r="23" ht="15.75" customHeight="1">
      <c r="A23" s="19" t="s">
        <v>87</v>
      </c>
      <c r="B23" s="26">
        <v>4366.0</v>
      </c>
      <c r="C23" s="26">
        <v>5252.0</v>
      </c>
      <c r="D23" s="26" t="s">
        <v>72</v>
      </c>
      <c r="E23" s="20"/>
      <c r="F23" s="20"/>
      <c r="G23" s="20"/>
      <c r="H23" s="18"/>
    </row>
    <row r="24" ht="15.75" customHeight="1">
      <c r="A24" s="19" t="s">
        <v>89</v>
      </c>
      <c r="B24" s="26">
        <v>1500.0</v>
      </c>
      <c r="C24" s="26">
        <v>0.0</v>
      </c>
      <c r="D24" s="26" t="s">
        <v>73</v>
      </c>
      <c r="E24" s="20"/>
      <c r="F24" s="20"/>
      <c r="G24" s="20"/>
      <c r="H24" s="18"/>
    </row>
    <row r="25" ht="15.75" customHeight="1">
      <c r="A25" s="19" t="s">
        <v>91</v>
      </c>
      <c r="B25" s="25">
        <v>2100.0</v>
      </c>
      <c r="C25" s="26">
        <v>2000.0</v>
      </c>
      <c r="D25" s="26" t="s">
        <v>72</v>
      </c>
      <c r="E25" s="20"/>
      <c r="F25" s="20"/>
      <c r="G25" s="20"/>
      <c r="H25" s="18"/>
    </row>
    <row r="26" ht="15.75" customHeight="1">
      <c r="A26" s="19" t="s">
        <v>92</v>
      </c>
      <c r="B26" s="26">
        <v>3500.0</v>
      </c>
      <c r="C26" s="26">
        <v>0.0</v>
      </c>
      <c r="D26" s="26" t="s">
        <v>73</v>
      </c>
      <c r="E26" s="20"/>
      <c r="F26" s="20"/>
      <c r="G26" s="20"/>
      <c r="H26" s="18"/>
    </row>
    <row r="27" ht="15.75" customHeight="1">
      <c r="A27" s="19" t="s">
        <v>98</v>
      </c>
      <c r="B27" s="25">
        <v>1500.0</v>
      </c>
      <c r="C27" s="26">
        <v>0.0</v>
      </c>
      <c r="D27" s="26" t="s">
        <v>73</v>
      </c>
      <c r="E27" s="20"/>
      <c r="F27" s="20"/>
      <c r="G27" s="19">
        <v>3000.0</v>
      </c>
      <c r="H27" s="18"/>
      <c r="I27" s="2">
        <v>2000.0</v>
      </c>
    </row>
    <row r="28" ht="15.75" customHeight="1">
      <c r="A28" s="19" t="s">
        <v>100</v>
      </c>
      <c r="B28" s="26">
        <v>0.0</v>
      </c>
      <c r="C28" s="26">
        <v>0.0</v>
      </c>
      <c r="D28" s="26" t="s">
        <v>73</v>
      </c>
      <c r="E28" s="20"/>
      <c r="F28" s="20"/>
      <c r="G28" s="19">
        <v>5315.0</v>
      </c>
      <c r="H28" s="18"/>
    </row>
    <row r="29" ht="15.75" customHeight="1">
      <c r="A29" s="21" t="s">
        <v>111</v>
      </c>
      <c r="B29" s="28">
        <v>0.0</v>
      </c>
      <c r="C29" s="26">
        <v>0.0</v>
      </c>
      <c r="D29" s="26" t="s">
        <v>73</v>
      </c>
      <c r="E29" s="18"/>
      <c r="F29" s="18"/>
      <c r="G29" s="19">
        <v>4661.0</v>
      </c>
      <c r="H29" s="18"/>
    </row>
    <row r="30" ht="15.75" customHeight="1">
      <c r="A30" s="28" t="s">
        <v>120</v>
      </c>
      <c r="B30" s="28">
        <v>0.0</v>
      </c>
      <c r="C30" s="26">
        <v>0.0</v>
      </c>
      <c r="D30" s="26" t="s">
        <v>73</v>
      </c>
      <c r="E30" s="18"/>
      <c r="F30" s="18"/>
      <c r="G30" s="18"/>
      <c r="H30" s="18"/>
    </row>
    <row r="31" ht="15.75" customHeight="1">
      <c r="A31" s="21"/>
      <c r="B31" s="21"/>
      <c r="C31" s="21"/>
      <c r="D31" s="21"/>
      <c r="E31" s="18"/>
      <c r="F31" s="18"/>
      <c r="G31" s="18"/>
      <c r="H31" s="18"/>
    </row>
    <row r="32" ht="15.75" customHeight="1">
      <c r="A32" s="21"/>
      <c r="B32" s="21"/>
      <c r="C32" s="21"/>
      <c r="D32" s="21"/>
      <c r="E32" s="18"/>
      <c r="F32" s="18"/>
      <c r="G32" s="18"/>
      <c r="H32" s="18"/>
    </row>
    <row r="33" ht="15.75" customHeight="1">
      <c r="A33" s="21"/>
      <c r="B33" s="21"/>
      <c r="C33" s="21"/>
      <c r="D33" s="21"/>
      <c r="E33" s="18"/>
      <c r="F33" s="18"/>
      <c r="G33" s="18"/>
      <c r="H33" s="18"/>
    </row>
    <row r="34" ht="15.75" customHeight="1">
      <c r="A34" s="21" t="s">
        <v>101</v>
      </c>
      <c r="B34" s="21">
        <f>SUM(B3:B33)</f>
        <v>112073</v>
      </c>
      <c r="C34" s="21"/>
      <c r="D34" s="21"/>
      <c r="E34" s="18"/>
      <c r="F34" s="18"/>
      <c r="G34" s="18"/>
      <c r="H34" s="18"/>
    </row>
    <row r="35" ht="15.75" customHeight="1">
      <c r="A35" s="21" t="s">
        <v>102</v>
      </c>
      <c r="C35" s="21">
        <f>SUM(C3:C33)</f>
        <v>89957</v>
      </c>
      <c r="D35" s="21"/>
      <c r="E35" s="18"/>
      <c r="F35" s="18"/>
      <c r="G35" s="18"/>
      <c r="H35" s="18"/>
    </row>
    <row r="36" ht="15.75" customHeight="1">
      <c r="A36" s="21"/>
      <c r="B36" s="21"/>
      <c r="C36" s="21"/>
      <c r="D36" s="21"/>
      <c r="E36" s="18"/>
      <c r="F36" s="18"/>
      <c r="G36" s="18"/>
      <c r="H36" s="18"/>
      <c r="K36" s="2">
        <v>42000.0</v>
      </c>
    </row>
    <row r="37" ht="15.75" customHeight="1">
      <c r="A37" s="21" t="s">
        <v>67</v>
      </c>
      <c r="B37" s="21"/>
      <c r="C37" s="21"/>
      <c r="D37" s="29">
        <v>145399.0</v>
      </c>
      <c r="E37" s="18"/>
      <c r="F37" s="18"/>
      <c r="G37" s="18"/>
      <c r="H37" s="18"/>
    </row>
    <row r="38" ht="15.75" customHeight="1">
      <c r="A38" s="21"/>
      <c r="B38" s="21"/>
      <c r="C38" s="21"/>
      <c r="D38" s="21"/>
      <c r="E38" s="18"/>
      <c r="F38" s="18"/>
      <c r="G38" s="18"/>
      <c r="H38" s="18"/>
    </row>
    <row r="39" ht="15.75" customHeight="1">
      <c r="A39" s="21" t="s">
        <v>68</v>
      </c>
      <c r="B39" s="22">
        <f>D37-B34</f>
        <v>33326</v>
      </c>
      <c r="C39" s="22">
        <f>D37-C35</f>
        <v>55442</v>
      </c>
      <c r="D39" s="22"/>
      <c r="E39" s="18"/>
      <c r="F39" s="18"/>
      <c r="G39" s="18"/>
      <c r="H39" s="18"/>
    </row>
    <row r="40" ht="15.75" customHeight="1">
      <c r="A40" s="18"/>
      <c r="B40" s="18"/>
      <c r="C40" s="18"/>
      <c r="D40" s="18"/>
      <c r="E40" s="18"/>
      <c r="F40" s="23"/>
      <c r="G40" s="18"/>
      <c r="H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</row>
    <row r="43" ht="15.75" customHeight="1">
      <c r="A43" s="31" t="s">
        <v>121</v>
      </c>
      <c r="B43" s="18"/>
      <c r="C43" s="31">
        <v>55158.0</v>
      </c>
      <c r="D43" s="18"/>
      <c r="E43" s="18"/>
      <c r="F43" s="18"/>
      <c r="G43" s="18"/>
      <c r="H43" s="18"/>
    </row>
    <row r="44" ht="15.75" customHeight="1">
      <c r="A44" s="31" t="s">
        <v>122</v>
      </c>
      <c r="B44" s="18"/>
      <c r="C44" s="31">
        <v>182104.0</v>
      </c>
      <c r="D44" s="18"/>
      <c r="E44" s="18"/>
      <c r="F44" s="18"/>
      <c r="G44" s="18"/>
      <c r="H44" s="18"/>
    </row>
    <row r="45" ht="15.75" customHeight="1">
      <c r="A45" s="31" t="s">
        <v>123</v>
      </c>
      <c r="B45" s="18"/>
      <c r="C45" s="31">
        <v>135827.0</v>
      </c>
      <c r="D45" s="18"/>
      <c r="E45" s="18"/>
      <c r="F45" s="18"/>
      <c r="G45" s="18"/>
      <c r="H45" s="18"/>
    </row>
    <row r="46" ht="15.75" customHeight="1">
      <c r="A46" s="18"/>
      <c r="B46" s="18"/>
      <c r="C46" s="31">
        <v>46277.0</v>
      </c>
      <c r="D46" s="18"/>
      <c r="E46" s="18"/>
      <c r="F46" s="18"/>
      <c r="G46" s="18"/>
      <c r="H46" s="18"/>
    </row>
    <row r="47" ht="15.75" customHeight="1">
      <c r="A47" s="31" t="s">
        <v>124</v>
      </c>
      <c r="B47" s="18"/>
      <c r="C47" s="31">
        <v>120000.0</v>
      </c>
      <c r="D47" s="18"/>
      <c r="E47" s="18"/>
      <c r="F47" s="18"/>
      <c r="G47" s="18"/>
      <c r="H47" s="18"/>
    </row>
    <row r="48" ht="15.75" customHeight="1">
      <c r="A48" s="31" t="s">
        <v>125</v>
      </c>
      <c r="B48" s="18"/>
      <c r="C48" s="31">
        <v>73727.0</v>
      </c>
      <c r="D48" s="18"/>
      <c r="E48" s="18"/>
      <c r="F48" s="18"/>
      <c r="G48" s="18"/>
      <c r="H48" s="18"/>
    </row>
    <row r="49" ht="15.75" customHeight="1">
      <c r="A49" s="31" t="s">
        <v>126</v>
      </c>
      <c r="B49" s="18"/>
      <c r="C49" s="31">
        <v>50000.0</v>
      </c>
      <c r="D49" s="18"/>
      <c r="E49" s="18"/>
      <c r="F49" s="18"/>
      <c r="G49" s="18"/>
      <c r="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1:$G$30"/>
  <mergeCells count="1">
    <mergeCell ref="A1:G1"/>
  </mergeCells>
  <conditionalFormatting sqref="D3:D30">
    <cfRule type="containsText" dxfId="0" priority="1" operator="containsText" text="TBD">
      <formula>NOT(ISERROR(SEARCH(("TBD"),(D3))))</formula>
    </cfRule>
  </conditionalFormatting>
  <conditionalFormatting sqref="D3:D30">
    <cfRule type="cellIs" dxfId="1" priority="2" operator="equal">
      <formula>"Completed"</formula>
    </cfRule>
  </conditionalFormatting>
  <dataValidations>
    <dataValidation type="list" allowBlank="1" showErrorMessage="1" sqref="J4">
      <formula1>$J$3:$J$4</formula1>
    </dataValidation>
    <dataValidation type="list" allowBlank="1" showErrorMessage="1" sqref="D3:D30">
      <formula1>$J$3:$J$5</formula1>
    </dataValidation>
    <dataValidation type="list" allowBlank="1" showErrorMessage="1" sqref="J3">
      <formula1>$J$3:$J$5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2025-04-29T04:15:03Z</dcterms:created>
  <dc:creator>Debashish Kheti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2025-04-29T04:29:34Z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37c20c64-c2ed-4ddc-899b-cb161268fbc9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50, 3, 0, 1</vt:lpwstr>
  </property>
</Properties>
</file>